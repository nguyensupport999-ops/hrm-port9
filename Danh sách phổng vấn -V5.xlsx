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HRM_Port\"/>
    </mc:Choice>
  </mc:AlternateContent>
  <bookViews>
    <workbookView xWindow="-108" yWindow="-108" windowWidth="23256" windowHeight="13176"/>
  </bookViews>
  <sheets>
    <sheet name="Tong the" sheetId="1" r:id="rId1"/>
    <sheet name="DS đào tạo" sheetId="3" r:id="rId2"/>
    <sheet name="Sheet1 (2)" sheetId="2" state="hidden" r:id="rId3"/>
  </sheets>
  <definedNames>
    <definedName name="_xlnm._FilterDatabase" localSheetId="1" hidden="1">'DS đào tạo'!$A$2:$E$11</definedName>
    <definedName name="_xlnm._FilterDatabase" localSheetId="0" hidden="1">'Tong the'!$A$2:$J$90</definedName>
    <definedName name="Slicer_Vị_trí">#N/A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5" i="1" l="1"/>
  <c r="B166" i="1"/>
  <c r="B167" i="1"/>
  <c r="B151" i="1"/>
  <c r="B146" i="1"/>
  <c r="B160" i="1"/>
  <c r="B159" i="1"/>
  <c r="B158" i="1"/>
  <c r="B157" i="1"/>
  <c r="B156" i="1"/>
  <c r="B155" i="1"/>
  <c r="B154" i="1"/>
  <c r="B12" i="3"/>
  <c r="J125" i="1"/>
  <c r="W27" i="1"/>
  <c r="B30" i="1"/>
  <c r="B4" i="3"/>
  <c r="B5" i="3" s="1"/>
  <c r="B6" i="3" s="1"/>
  <c r="B7" i="3" s="1"/>
  <c r="B8" i="3" s="1"/>
  <c r="B67" i="1"/>
  <c r="B150" i="1"/>
  <c r="B149" i="1"/>
  <c r="B148" i="1"/>
  <c r="B147" i="1"/>
  <c r="B145" i="1"/>
  <c r="B144" i="1"/>
  <c r="B143" i="1"/>
  <c r="B142"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25" i="1"/>
  <c r="B8" i="1"/>
  <c r="Q27" i="1"/>
  <c r="H59" i="1"/>
  <c r="J3" i="1"/>
  <c r="B3" i="1"/>
  <c r="E22" i="2"/>
  <c r="B21" i="1"/>
  <c r="D22" i="2"/>
  <c r="H56" i="1"/>
  <c r="H57" i="1" s="1"/>
  <c r="J55" i="1"/>
  <c r="B36" i="1"/>
  <c r="B35" i="1"/>
  <c r="B34" i="1"/>
  <c r="B33" i="1"/>
  <c r="B32" i="1"/>
  <c r="A31" i="1"/>
  <c r="A32" i="1" s="1"/>
  <c r="A33" i="1" s="1"/>
  <c r="A34" i="1" s="1"/>
  <c r="A35" i="1" s="1"/>
  <c r="A36" i="1" s="1"/>
  <c r="A37" i="1" s="1"/>
  <c r="B29" i="1"/>
  <c r="J27" i="1"/>
  <c r="J28" i="1" s="1"/>
  <c r="H27" i="1"/>
  <c r="H28" i="1" s="1"/>
  <c r="B28" i="1"/>
  <c r="A25" i="1"/>
  <c r="A26" i="1" s="1"/>
  <c r="A27" i="1" s="1"/>
  <c r="A28" i="1" s="1"/>
  <c r="A29" i="1" s="1"/>
  <c r="H24" i="1"/>
  <c r="B24" i="1"/>
  <c r="B22" i="1"/>
  <c r="A21" i="1"/>
  <c r="J20" i="1"/>
  <c r="B20" i="1"/>
  <c r="B19" i="1"/>
  <c r="B18" i="1"/>
  <c r="B17" i="1"/>
  <c r="H16" i="1"/>
  <c r="K16" i="1"/>
  <c r="B16" i="1"/>
  <c r="B15" i="1"/>
  <c r="B14" i="1"/>
  <c r="B13" i="1"/>
  <c r="A13" i="1"/>
  <c r="B12" i="1"/>
  <c r="B11" i="1"/>
  <c r="A11" i="1"/>
  <c r="B10" i="1"/>
  <c r="B9" i="1"/>
  <c r="H7" i="1"/>
  <c r="B7" i="1"/>
  <c r="B6" i="1"/>
  <c r="A6" i="1"/>
  <c r="B5" i="1"/>
  <c r="A4" i="1"/>
  <c r="B4" i="1"/>
  <c r="R25" i="1" l="1"/>
  <c r="C12" i="3"/>
  <c r="D12" i="3"/>
  <c r="G12" i="3"/>
  <c r="F12" i="3"/>
  <c r="E12" i="3"/>
  <c r="F6" i="3"/>
  <c r="E6" i="3"/>
  <c r="C6" i="3"/>
  <c r="D5" i="3"/>
  <c r="D3" i="3"/>
  <c r="G7" i="3"/>
  <c r="D6" i="3"/>
  <c r="F4" i="3"/>
  <c r="C4" i="3"/>
  <c r="F7" i="3"/>
  <c r="E4" i="3"/>
  <c r="G5" i="3"/>
  <c r="E7" i="3"/>
  <c r="G4" i="3"/>
  <c r="D4" i="3"/>
  <c r="F5" i="3"/>
  <c r="D7" i="3"/>
  <c r="C3" i="3"/>
  <c r="E5" i="3"/>
  <c r="C7" i="3"/>
  <c r="E3" i="3"/>
  <c r="C5" i="3"/>
  <c r="F3" i="3"/>
  <c r="G6" i="3"/>
  <c r="G3" i="3"/>
  <c r="B9" i="3"/>
  <c r="B10" i="3" s="1"/>
  <c r="B11" i="3" s="1"/>
  <c r="R23" i="1"/>
  <c r="R26" i="1"/>
  <c r="R24" i="1"/>
  <c r="R22" i="1"/>
  <c r="R21" i="1"/>
  <c r="R13" i="1"/>
  <c r="R12" i="1"/>
  <c r="R14" i="1"/>
  <c r="R15" i="1"/>
  <c r="R4" i="1"/>
  <c r="R16" i="1"/>
  <c r="R3" i="1"/>
  <c r="R5" i="1"/>
  <c r="R17" i="1"/>
  <c r="R6" i="1"/>
  <c r="R18" i="1"/>
  <c r="R7" i="1"/>
  <c r="R19" i="1"/>
  <c r="R8" i="1"/>
  <c r="R20" i="1"/>
  <c r="R11" i="1"/>
  <c r="R9" i="1"/>
  <c r="R10" i="1"/>
  <c r="B23" i="1"/>
  <c r="B26" i="1"/>
  <c r="B27" i="1"/>
  <c r="B31" i="1"/>
  <c r="A38" i="1"/>
  <c r="A39" i="1" l="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F17" i="2"/>
  <c r="G17" i="2" s="1"/>
  <c r="F11" i="2"/>
  <c r="G11" i="2" s="1"/>
  <c r="F6" i="2"/>
  <c r="G6" i="2" s="1"/>
  <c r="F18" i="2"/>
  <c r="G18" i="2" s="1"/>
  <c r="F12" i="2"/>
  <c r="G12" i="2" s="1"/>
  <c r="F5" i="2"/>
  <c r="G5" i="2" s="1"/>
  <c r="F15" i="2"/>
  <c r="G15" i="2" s="1"/>
  <c r="F13" i="2"/>
  <c r="G13" i="2" s="1"/>
  <c r="F4" i="2"/>
  <c r="G4" i="2" s="1"/>
  <c r="F19" i="2"/>
  <c r="G19" i="2" s="1"/>
  <c r="F16" i="2"/>
  <c r="G16" i="2" s="1"/>
  <c r="F8" i="2"/>
  <c r="G8" i="2" s="1"/>
  <c r="F9" i="2"/>
  <c r="G9" i="2" s="1"/>
  <c r="F10" i="2"/>
  <c r="G10" i="2" s="1"/>
  <c r="F14" i="2"/>
  <c r="G14" i="2" s="1"/>
  <c r="F21" i="2"/>
  <c r="G21" i="2" s="1"/>
  <c r="F20" i="2"/>
  <c r="G20" i="2" s="1"/>
  <c r="F7" i="2"/>
  <c r="G7" i="2" s="1"/>
  <c r="F3" i="2"/>
  <c r="R27" i="1"/>
  <c r="A68" i="1" l="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D10" i="3"/>
  <c r="D11" i="3"/>
  <c r="G8" i="3"/>
  <c r="E8" i="3"/>
  <c r="G10" i="3"/>
  <c r="F9" i="3"/>
  <c r="C8" i="3"/>
  <c r="D9" i="3"/>
  <c r="F10" i="3"/>
  <c r="E9" i="3"/>
  <c r="E10" i="3"/>
  <c r="G9" i="3"/>
  <c r="C10" i="3"/>
  <c r="D8" i="3"/>
  <c r="C11" i="3"/>
  <c r="C9" i="3"/>
  <c r="G11" i="3"/>
  <c r="E11" i="3"/>
  <c r="F8" i="3"/>
  <c r="F11" i="3"/>
  <c r="G3" i="2"/>
  <c r="F22" i="2"/>
</calcChain>
</file>

<file path=xl/comments1.xml><?xml version="1.0" encoding="utf-8"?>
<comments xmlns="http://schemas.openxmlformats.org/spreadsheetml/2006/main">
  <authors>
    <author>PC</author>
  </authors>
  <commentList>
    <comment ref="J2" authorId="0" shapeId="0">
      <text>
        <r>
          <rPr>
            <b/>
            <sz val="9"/>
            <color indexed="81"/>
            <rFont val="Tahoma"/>
            <family val="2"/>
          </rPr>
          <t>PC: Đối với đội thiết bị thì nếu vì cảng không bố trí được công việc thì sẽ chấm 1/2 công</t>
        </r>
        <r>
          <rPr>
            <sz val="9"/>
            <color indexed="81"/>
            <rFont val="Tahoma"/>
            <family val="2"/>
          </rPr>
          <t xml:space="preserve">
</t>
        </r>
      </text>
    </comment>
    <comment ref="C17" authorId="0" shapeId="0">
      <text>
        <r>
          <rPr>
            <b/>
            <sz val="9"/>
            <color indexed="81"/>
            <rFont val="Tahoma"/>
            <family val="2"/>
            <charset val="163"/>
          </rPr>
          <t>PC:</t>
        </r>
        <r>
          <rPr>
            <sz val="9"/>
            <color indexed="81"/>
            <rFont val="Tahoma"/>
            <family val="2"/>
            <charset val="163"/>
          </rPr>
          <t xml:space="preserve">
Chú Thanh vợ</t>
        </r>
      </text>
    </comment>
    <comment ref="U22" authorId="0" shapeId="0">
      <text>
        <r>
          <rPr>
            <b/>
            <sz val="9"/>
            <color indexed="81"/>
            <rFont val="Tahoma"/>
            <family val="2"/>
            <charset val="163"/>
          </rPr>
          <t>PC:</t>
        </r>
        <r>
          <rPr>
            <sz val="9"/>
            <color indexed="81"/>
            <rFont val="Tahoma"/>
            <family val="2"/>
            <charset val="163"/>
          </rPr>
          <t xml:space="preserve">
Ko bao gồm danh sách bên Bình</t>
        </r>
      </text>
    </comment>
    <comment ref="U23" authorId="0" shapeId="0">
      <text>
        <r>
          <rPr>
            <b/>
            <sz val="9"/>
            <color indexed="81"/>
            <rFont val="Tahoma"/>
            <family val="2"/>
          </rPr>
          <t>PC:</t>
        </r>
        <r>
          <rPr>
            <sz val="9"/>
            <color indexed="81"/>
            <rFont val="Tahoma"/>
            <family val="2"/>
          </rPr>
          <t xml:space="preserve">
Lương 11/tr. Nếu tay nghề tốt 12tr</t>
        </r>
      </text>
    </comment>
    <comment ref="P26" authorId="0" shapeId="0">
      <text>
        <r>
          <rPr>
            <b/>
            <sz val="9"/>
            <color indexed="81"/>
            <rFont val="Tahoma"/>
            <family val="2"/>
          </rPr>
          <t>PC:</t>
        </r>
        <r>
          <rPr>
            <sz val="9"/>
            <color indexed="81"/>
            <rFont val="Tahoma"/>
            <family val="2"/>
          </rPr>
          <t xml:space="preserve">
Lương 11/tr. Nếu tay nghề tốt 12tr</t>
        </r>
      </text>
    </comment>
    <comment ref="U26" authorId="0" shapeId="0">
      <text>
        <r>
          <rPr>
            <b/>
            <sz val="9"/>
            <color indexed="81"/>
            <rFont val="Tahoma"/>
            <family val="2"/>
          </rPr>
          <t>PC:</t>
        </r>
        <r>
          <rPr>
            <sz val="9"/>
            <color indexed="81"/>
            <rFont val="Tahoma"/>
            <family val="2"/>
          </rPr>
          <t xml:space="preserve">
Lương 11/tr. Nếu tay nghề tốt 12tr</t>
        </r>
      </text>
    </comment>
    <comment ref="R27" authorId="0" shapeId="0">
      <text>
        <r>
          <rPr>
            <b/>
            <sz val="9"/>
            <color indexed="81"/>
            <rFont val="Tahoma"/>
            <family val="2"/>
          </rPr>
          <t>Nhóm Zalo sẽ hơn 01 người: do thiếu trân anh lái FC do liên lạc không được</t>
        </r>
      </text>
    </comment>
    <comment ref="C29" authorId="0" shapeId="0">
      <text>
        <r>
          <rPr>
            <b/>
            <sz val="9"/>
            <color indexed="81"/>
            <rFont val="Tahoma"/>
            <family val="2"/>
          </rPr>
          <t>PC:</t>
        </r>
        <r>
          <rPr>
            <sz val="9"/>
            <color indexed="81"/>
            <rFont val="Tahoma"/>
            <family val="2"/>
          </rPr>
          <t xml:space="preserve">
Tiếng anh tốt
</t>
        </r>
      </text>
    </comment>
  </commentList>
</comments>
</file>

<file path=xl/comments2.xml><?xml version="1.0" encoding="utf-8"?>
<comments xmlns="http://schemas.openxmlformats.org/spreadsheetml/2006/main">
  <authors>
    <author>PC</author>
  </authors>
  <commentList>
    <comment ref="C7" authorId="0" shapeId="0">
      <text>
        <r>
          <rPr>
            <b/>
            <sz val="9"/>
            <color indexed="81"/>
            <rFont val="Tahoma"/>
            <family val="2"/>
          </rPr>
          <t>PC:</t>
        </r>
        <r>
          <rPr>
            <sz val="9"/>
            <color indexed="81"/>
            <rFont val="Tahoma"/>
            <family val="2"/>
          </rPr>
          <t xml:space="preserve">
Tiếng anh tốt
</t>
        </r>
      </text>
    </comment>
  </commentList>
</comments>
</file>

<file path=xl/sharedStrings.xml><?xml version="1.0" encoding="utf-8"?>
<sst xmlns="http://schemas.openxmlformats.org/spreadsheetml/2006/main" count="940" uniqueCount="556">
  <si>
    <t>DANH SÁCH PHỎNG VẤN</t>
  </si>
  <si>
    <t>TT</t>
  </si>
  <si>
    <t>Họ tên</t>
  </si>
  <si>
    <t xml:space="preserve">Vị trí </t>
  </si>
  <si>
    <t>Xem xét</t>
  </si>
  <si>
    <t>Ghi chú</t>
  </si>
  <si>
    <t>Năm sinh</t>
  </si>
  <si>
    <t>Tình trạng kết hôn</t>
  </si>
  <si>
    <t>Giới tính</t>
  </si>
  <si>
    <t>Chấp thuận</t>
  </si>
  <si>
    <t>Lái cẩu Liebherr</t>
  </si>
  <si>
    <t>Lái cẩu bánh xích</t>
  </si>
  <si>
    <t>Lái máy ủi</t>
  </si>
  <si>
    <t>Lái xúc lật</t>
  </si>
  <si>
    <t>Lái xe nâng</t>
  </si>
  <si>
    <t>Lái máy đào</t>
  </si>
  <si>
    <t>Thợ vận hành băng tải</t>
  </si>
  <si>
    <t>Lái xe ben</t>
  </si>
  <si>
    <t>Lái xe đầu kéo</t>
  </si>
  <si>
    <t>Cơ điện</t>
  </si>
  <si>
    <t>Làm hành chính</t>
  </si>
  <si>
    <t>Bảo vệ</t>
  </si>
  <si>
    <t>Kế toán</t>
  </si>
  <si>
    <t>Kinh doanh</t>
  </si>
  <si>
    <t>Trạm cân</t>
  </si>
  <si>
    <t>Phụ trách kho bãi</t>
  </si>
  <si>
    <t>Lao động phổ thông</t>
  </si>
  <si>
    <t>Tạp vụ</t>
  </si>
  <si>
    <t>Sửa chữa</t>
  </si>
  <si>
    <t>Võ Tam Lược</t>
  </si>
  <si>
    <t>x</t>
  </si>
  <si>
    <t>Thời gian đi làm</t>
  </si>
  <si>
    <t>Điện thoại</t>
  </si>
  <si>
    <t>Nữ</t>
  </si>
  <si>
    <t>6tr - 8tr/ tháng; thử việc 6tr</t>
  </si>
  <si>
    <t>0916955278</t>
  </si>
  <si>
    <t>0778584156</t>
  </si>
  <si>
    <t>Trình Ánh Dương</t>
  </si>
  <si>
    <t>X</t>
  </si>
  <si>
    <t>12tr, BHXH theo luật</t>
  </si>
  <si>
    <t>0326604512</t>
  </si>
  <si>
    <t>Phạm Ngọc Hân</t>
  </si>
  <si>
    <t>0974943447</t>
  </si>
  <si>
    <t>Fomer</t>
  </si>
  <si>
    <t>Dương Ngọc Sơn</t>
  </si>
  <si>
    <t>0799182413</t>
  </si>
  <si>
    <t>8tr/ tháng thử việc</t>
  </si>
  <si>
    <t>Mai Thị Hồng Mận</t>
  </si>
  <si>
    <t>0376664188</t>
  </si>
  <si>
    <t>Lương (thử việc 80%)</t>
  </si>
  <si>
    <t>Nguyễn Thị Thu Hà</t>
  </si>
  <si>
    <t>0355565275</t>
  </si>
  <si>
    <t>Phạm Thị Như</t>
  </si>
  <si>
    <t>8tr/tháng; thử việc 1 tháng</t>
  </si>
  <si>
    <t>Tự bố trí ngày nghỉ đảm bảo</t>
  </si>
  <si>
    <t>Trương Thanh Phương</t>
  </si>
  <si>
    <t>0886608080</t>
  </si>
  <si>
    <t>Phạm Văn Dương</t>
  </si>
  <si>
    <t>0971999564</t>
  </si>
  <si>
    <t>Đinh Thanh Hà</t>
  </si>
  <si>
    <t>0944654600</t>
  </si>
  <si>
    <t>Nguyễn Thị Thu Hằng</t>
  </si>
  <si>
    <t>Lê Thị Kiều Trang</t>
  </si>
  <si>
    <t>0948252943</t>
  </si>
  <si>
    <t>0799106337</t>
  </si>
  <si>
    <t>8tr/ tháng; thử việc 6tr</t>
  </si>
  <si>
    <t>Lê Viết Thanh</t>
  </si>
  <si>
    <t>12h/ca</t>
  </si>
  <si>
    <t>Phan Thanh Dũng</t>
  </si>
  <si>
    <t>0865493444</t>
  </si>
  <si>
    <t>Có thể lái cẩu</t>
  </si>
  <si>
    <t>Hoàng Thị Tính</t>
  </si>
  <si>
    <t>Nguyễn Thị Bé</t>
  </si>
  <si>
    <t>0965719908</t>
  </si>
  <si>
    <t>Quen A. Sơn -Đại diện</t>
  </si>
  <si>
    <t>0961544089</t>
  </si>
  <si>
    <t>Từ Nữ Kiều Trinh</t>
  </si>
  <si>
    <t>Đại học, Tiếng Anh tốt; BHXH theo thực nhận</t>
  </si>
  <si>
    <t>Đinh Thị Thúy Hằng</t>
  </si>
  <si>
    <t>0976916154</t>
  </si>
  <si>
    <t>Võ Thị Nhường</t>
  </si>
  <si>
    <t>0392037554</t>
  </si>
  <si>
    <t>0363420442</t>
  </si>
  <si>
    <t>6-8tr/ tháng</t>
  </si>
  <si>
    <t>Đặng Thị Tiết</t>
  </si>
  <si>
    <t>Trần Trúc Quỳnh</t>
  </si>
  <si>
    <t>0812624770</t>
  </si>
  <si>
    <t>Đã làm thuế</t>
  </si>
  <si>
    <t>Nguyễn Lê Khắc Ánh</t>
  </si>
  <si>
    <t>Trần Văn Hoài</t>
  </si>
  <si>
    <t>0799161327</t>
  </si>
  <si>
    <t>Nguyễn Văn Thái</t>
  </si>
  <si>
    <t>0944455516</t>
  </si>
  <si>
    <t>0773369659</t>
  </si>
  <si>
    <t>350K/công; Vận hành băng tải dăm 400-450K/công; xếp cali</t>
  </si>
  <si>
    <t>Có thể vận hành băng tải; xếp cali</t>
  </si>
  <si>
    <t>Nguyễn Vũ Duy</t>
  </si>
  <si>
    <t>0916118042</t>
  </si>
  <si>
    <t>Điều độ</t>
  </si>
  <si>
    <t>Hà Thị Định</t>
  </si>
  <si>
    <t>Bùi Thị Hằng</t>
  </si>
  <si>
    <t>0705283539</t>
  </si>
  <si>
    <t>0773371784</t>
  </si>
  <si>
    <t>Hồ Tiến Lực</t>
  </si>
  <si>
    <t>0978764897</t>
  </si>
  <si>
    <t>Trịnh Minh Quý</t>
  </si>
  <si>
    <t>0986365377</t>
  </si>
  <si>
    <t>Lưu Văn Khánh</t>
  </si>
  <si>
    <t>0363329273</t>
  </si>
  <si>
    <t>Nguyễn Văn Tuyến</t>
  </si>
  <si>
    <t>0961778150</t>
  </si>
  <si>
    <t>Cơ bản làm hành chính</t>
  </si>
  <si>
    <t>Vị trí</t>
  </si>
  <si>
    <t>Cần tuyển</t>
  </si>
  <si>
    <t>Đã tuyển</t>
  </si>
  <si>
    <t>Bảo vệ -x</t>
  </si>
  <si>
    <t>Lê Thị Vân Anh</t>
  </si>
  <si>
    <t>Lê Thị Hoài</t>
  </si>
  <si>
    <t>Tạp vụ -x</t>
  </si>
  <si>
    <t>0395757327</t>
  </si>
  <si>
    <t>Nguyễn Văn Hậu</t>
  </si>
  <si>
    <t>Em Hội, chưa phỏng vấn</t>
  </si>
  <si>
    <t>OK</t>
  </si>
  <si>
    <t>Tổng</t>
  </si>
  <si>
    <t>Nguyễn Thị Ngọc Lan</t>
  </si>
  <si>
    <t>0944267623</t>
  </si>
  <si>
    <t>26ca/ tháng</t>
  </si>
  <si>
    <t>Hoàng Công Phượng</t>
  </si>
  <si>
    <t>0938883714</t>
  </si>
  <si>
    <t>Lái được ủi, xúc lật. Khi nào lắp đặt băng tải sẽ đi làm luôn</t>
  </si>
  <si>
    <t>Đặng Yến Quang</t>
  </si>
  <si>
    <t>0823509379</t>
  </si>
  <si>
    <t>Ngô Văn Sỹ</t>
  </si>
  <si>
    <t>Có thể làm điện</t>
  </si>
  <si>
    <t>0918928231</t>
  </si>
  <si>
    <t>Trần Mạnh Hùng</t>
  </si>
  <si>
    <t>0968580645</t>
  </si>
  <si>
    <t>Hoàng Thị Vân</t>
  </si>
  <si>
    <t>0814280719</t>
  </si>
  <si>
    <t>Võ Thị Thùy Dung</t>
  </si>
  <si>
    <t>Trạm cân -x</t>
  </si>
  <si>
    <t>Có thể làm y tế</t>
  </si>
  <si>
    <t>8tr</t>
  </si>
  <si>
    <t>Từ THị Linh</t>
  </si>
  <si>
    <t>0989866712</t>
  </si>
  <si>
    <t>Lê Thị HÀ</t>
  </si>
  <si>
    <t>0915863061</t>
  </si>
  <si>
    <t>Tổ trưởng nhân công</t>
  </si>
  <si>
    <t>10tr</t>
  </si>
  <si>
    <t>Lưu Thị Nghĩa</t>
  </si>
  <si>
    <t>Võ Thị Hải Lý</t>
  </si>
  <si>
    <t>Quen Trường</t>
  </si>
  <si>
    <t>0345153370</t>
  </si>
  <si>
    <t>0977649645</t>
  </si>
  <si>
    <t>12tr</t>
  </si>
  <si>
    <t xml:space="preserve">Xe nâng; </t>
  </si>
  <si>
    <t>Lê Trọng Hiếu</t>
  </si>
  <si>
    <t>0986050308</t>
  </si>
  <si>
    <t>Kinh doanh -x</t>
  </si>
  <si>
    <t>Nguyễn Hoài Bảo Linh</t>
  </si>
  <si>
    <t>0374731347</t>
  </si>
  <si>
    <t>Tài năng; Tuyển bên dăm -XNK</t>
  </si>
  <si>
    <t>Phan Thanh Thân</t>
  </si>
  <si>
    <t>0366916739</t>
  </si>
  <si>
    <t>Chạy xúc lật, máy đào</t>
  </si>
  <si>
    <t>Thử việc 1 tháng</t>
  </si>
  <si>
    <t>0857116333</t>
  </si>
  <si>
    <t>Lưu Đức Tình</t>
  </si>
  <si>
    <t>Nguyễn Ngọc Việt</t>
  </si>
  <si>
    <t>0905232509</t>
  </si>
  <si>
    <t>THEO DÕI ỨNG VIÊN VÀO LÀM VIỆC TẠI CẢNG  THQT HÒN LA</t>
  </si>
  <si>
    <t>Vị trí việc làm</t>
  </si>
  <si>
    <t>Số lượng người cần tuyển</t>
  </si>
  <si>
    <t>Số lượng chờ/ đã phỏng vấn</t>
  </si>
  <si>
    <t>Số lượng đã nhận</t>
  </si>
  <si>
    <t>Số lượng còn lại</t>
  </si>
  <si>
    <t>Tên ứng viên đã nhận</t>
  </si>
  <si>
    <t>Ghi chú/ Lưu ý</t>
  </si>
  <si>
    <t>Ngày làm 8h/ ca; ngoài giờ: 80K/tiếng</t>
  </si>
  <si>
    <t>Tuấn giới thiệu 02 ứng viên bà con</t>
  </si>
  <si>
    <t>Phương,</t>
  </si>
  <si>
    <t>V.Anh, Tuyến</t>
  </si>
  <si>
    <t>Em Bình (theo dõi lương, công, chế độ người lao động) + Em tố Hiếu (hồ sơ, sắp xếp tiếp khách, soạn công văn)</t>
  </si>
  <si>
    <t xml:space="preserve">01 người - Chú L Tuấn + 01 Cậu A Trường Hải Quan Cha Lo </t>
  </si>
  <si>
    <t>Hường</t>
  </si>
  <si>
    <t>Cháu anh Hệ Hải Quan (mới ra trường)+ Cháu A Tùng Gd CV Hà Tĩnh + Người quen A. Hiền PCT</t>
  </si>
  <si>
    <t>Lưu Nghĩa</t>
  </si>
  <si>
    <t>Cháu Lưu Tuấn</t>
  </si>
  <si>
    <t xml:space="preserve"> Trang,T.Hằng, H.Mận, N.Lan</t>
  </si>
  <si>
    <t>Cháu A Tùng + Em Bình + Chị Trang Nguyên Lợi+ Lan (FPT, tiếng Anh tốt)</t>
  </si>
  <si>
    <t>Hùng</t>
  </si>
  <si>
    <t>Em bạn Lưu Tuấn</t>
  </si>
  <si>
    <t>Tình</t>
  </si>
  <si>
    <t>Cháu L Tuấn (tổ trưởng nhân công)</t>
  </si>
  <si>
    <t>Sữa chữa các loại máy; quản lý thiết bị'</t>
  </si>
  <si>
    <t>Kế toán -x</t>
  </si>
  <si>
    <t>0965951621</t>
  </si>
  <si>
    <t>Phạm Thanh Bình</t>
  </si>
  <si>
    <t>Có thể lái xe nâng</t>
  </si>
  <si>
    <t>Có thể lái xúc lật</t>
  </si>
  <si>
    <t>Có bằng lái xúc lật</t>
  </si>
  <si>
    <t>ĐInh Văn Hạnh</t>
  </si>
  <si>
    <t>13tr</t>
  </si>
  <si>
    <t>Chưa PV, Bình giới thiệu</t>
  </si>
  <si>
    <t>Nguyễn Văn Hương</t>
  </si>
  <si>
    <t>0942981454</t>
  </si>
  <si>
    <t>0962233533</t>
  </si>
  <si>
    <t>Nguyễn Văn Thanh</t>
  </si>
  <si>
    <t>0374352567</t>
  </si>
  <si>
    <t>Chưa PV, Bình giới thiệu. Lái được xe nâng</t>
  </si>
  <si>
    <t>Trần Ngọc Huy</t>
  </si>
  <si>
    <t>0963593585</t>
  </si>
  <si>
    <t>Hồ Thành Chung</t>
  </si>
  <si>
    <t>0985228119</t>
  </si>
  <si>
    <t>Lê Chí Linh</t>
  </si>
  <si>
    <t>Đào tạo tại Nghi thiết</t>
  </si>
  <si>
    <t>Cháu Bác Thiện</t>
  </si>
  <si>
    <t>8ca/h chủ yếu ban ngày</t>
  </si>
  <si>
    <t>Nguyễn Thị Thu Hường</t>
  </si>
  <si>
    <t>0372346667</t>
  </si>
  <si>
    <t>0829423293</t>
  </si>
  <si>
    <t>0986358942</t>
  </si>
  <si>
    <t>Có một chút kinh nghiệm về vận hành băng tải</t>
  </si>
  <si>
    <t>Trao đổi với sếp</t>
  </si>
  <si>
    <t>Trao đổi với sếp vì hơi lớn tuổi</t>
  </si>
  <si>
    <t>Trần Đức Hà</t>
  </si>
  <si>
    <t>0855730886</t>
  </si>
  <si>
    <t>Lái máy đào, máy nâng</t>
  </si>
  <si>
    <t>12tr; thử việc 01 tháng</t>
  </si>
  <si>
    <t>Đào tạo  tại Nghi Thiết</t>
  </si>
  <si>
    <t>Hoàng Thanh Hùng</t>
  </si>
  <si>
    <t>Xúc lật , xe nâng máy ủi</t>
  </si>
  <si>
    <t>0868896927</t>
  </si>
  <si>
    <t>Người quen Bình. Đã đi bộ đội</t>
  </si>
  <si>
    <t>Trần Duy Hưng</t>
  </si>
  <si>
    <t>Tưởng Văn Hà</t>
  </si>
  <si>
    <t>Chạy xe công trình</t>
  </si>
  <si>
    <t>0818011773</t>
  </si>
  <si>
    <t>Võ Minh Hiếu</t>
  </si>
  <si>
    <t>0904955782</t>
  </si>
  <si>
    <t>Chạy được FC</t>
  </si>
  <si>
    <t>Trần Ngọc Sơn</t>
  </si>
  <si>
    <t>0975470155</t>
  </si>
  <si>
    <t>Cơ điện làm 20 năm. Nhóm trưởng về cơ điện Cty dệt may Huế</t>
  </si>
  <si>
    <t>0388800573</t>
  </si>
  <si>
    <t>Đình Văn Hóa</t>
  </si>
  <si>
    <t>0397737173</t>
  </si>
  <si>
    <t>Lái xe ben -x</t>
  </si>
  <si>
    <t>Trần Anh</t>
  </si>
  <si>
    <t>Bùi Duy Khánh</t>
  </si>
  <si>
    <t>0353033991</t>
  </si>
  <si>
    <t>Mai Văn Thi</t>
  </si>
  <si>
    <t>Lái máy xúc lật</t>
  </si>
  <si>
    <t>0907555020</t>
  </si>
  <si>
    <t>Nguyễn Ngọc Hoàn</t>
  </si>
  <si>
    <t>0972989737</t>
  </si>
  <si>
    <t>Lê Thế Hội</t>
  </si>
  <si>
    <t>Cơ điện 10 năm, vận hành sửa chữa máy lạnh, có thể kèm về sửa chữa,. Có thể là hàn. Người quen Hoàn -PGD CV Q Trị</t>
  </si>
  <si>
    <t>Trần Văn Công</t>
  </si>
  <si>
    <t>Đặng Văn Thanh</t>
  </si>
  <si>
    <t>Có thể lái FC. Người lao động cân nhắc</t>
  </si>
  <si>
    <t>Cơ điện -x</t>
  </si>
  <si>
    <t>Trao đổi với sếp về lương</t>
  </si>
  <si>
    <t>Chưa PV, người quen Nam BP,</t>
  </si>
  <si>
    <t>0966607806</t>
  </si>
  <si>
    <t>0985596469</t>
  </si>
  <si>
    <t>Có chứng chỉ nghiệp vụ bảo vệ</t>
  </si>
  <si>
    <t>Cao Thanh Hải</t>
  </si>
  <si>
    <t>Có kinh nghiệm làm vệ sỹ, có chứng chỉ võ thuật</t>
  </si>
  <si>
    <t>Nguyễn Minh Đức</t>
  </si>
  <si>
    <t>0916699123</t>
  </si>
  <si>
    <t>Phạm Thai Hoàn</t>
  </si>
  <si>
    <t>Đang lái bên formosa</t>
  </si>
  <si>
    <t>Có kinh nghiệm làm bảo vệ cho Quảng Đông, công ty vệ sỹ Đức Tâm.</t>
  </si>
  <si>
    <t>0382030398</t>
  </si>
  <si>
    <t>Tưởng Văn Duy</t>
  </si>
  <si>
    <t>Có bằng C, trước đây có lái xe tải, giờ đang lái xe đưa đón công nhân.</t>
  </si>
  <si>
    <t>0336731385</t>
  </si>
  <si>
    <t>Đinh Thị Huyền</t>
  </si>
  <si>
    <t>Có kinh nghiệm làm PTSC, có chồng lái FC xin về cảng.</t>
  </si>
  <si>
    <t>0398777305</t>
  </si>
  <si>
    <t>Đặng Thái Châu</t>
  </si>
  <si>
    <t>Chồng Đinh Thị Huyền đang lái ở Hồ Chí Minh</t>
  </si>
  <si>
    <t>0962973777</t>
  </si>
  <si>
    <t>Hồ Văn Sơn</t>
  </si>
  <si>
    <t>0862448168</t>
  </si>
  <si>
    <t>Bùi Phong Vũ</t>
  </si>
  <si>
    <t>0342546763</t>
  </si>
  <si>
    <t>Lái được mỗi xúc lật. Lái dc máy ủi nhưng lâu rồi chưa lái</t>
  </si>
  <si>
    <t>Trần Văn Thắng</t>
  </si>
  <si>
    <t>0869070325</t>
  </si>
  <si>
    <t>Đang đi làm công nhân công trình khu du lịch</t>
  </si>
  <si>
    <t>14tr</t>
  </si>
  <si>
    <t>Mức lương mong muốn 14tr ( A Huy đồng ý )</t>
  </si>
  <si>
    <t>Nguyễn Trường Minh</t>
  </si>
  <si>
    <t>Yêu cầu lương 14 tr ( Sếp đồng ý )</t>
  </si>
  <si>
    <t>Đang lái cẩu ở formosa</t>
  </si>
  <si>
    <t>Tham chieu</t>
  </si>
  <si>
    <t>Quản lý cơ giới</t>
  </si>
  <si>
    <t>Lái máy đào -x</t>
  </si>
  <si>
    <t>Lái xe đầu kéo -x</t>
  </si>
  <si>
    <t>Lái xúc lật -x</t>
  </si>
  <si>
    <t>Phòng Y Tế</t>
  </si>
  <si>
    <t>Trao đổi với sếp vì cho hai vợ chồng cugnf làm</t>
  </si>
  <si>
    <t>Ngô Xuân Phương</t>
  </si>
  <si>
    <t>Lái xúc lật, xe nâng</t>
  </si>
  <si>
    <t>0813102557</t>
  </si>
  <si>
    <t>Nguyễn Hà Trang</t>
  </si>
  <si>
    <t>0326926397</t>
  </si>
  <si>
    <t>Nguyễn Minh Hiệu</t>
  </si>
  <si>
    <t>0398083985</t>
  </si>
  <si>
    <t>Trao đổi với sếp, tướng hơi dữ. Quá OK</t>
  </si>
  <si>
    <t>Nguyễn Văn Đại</t>
  </si>
  <si>
    <t>0939190899</t>
  </si>
  <si>
    <t>Tô Minh Tân</t>
  </si>
  <si>
    <t>Nguyễn Chánh Tín</t>
  </si>
  <si>
    <t>0358229334</t>
  </si>
  <si>
    <t>Bình đưa thông tin</t>
  </si>
  <si>
    <t>xz</t>
  </si>
  <si>
    <t>0852479222</t>
  </si>
  <si>
    <t>0326933225; 0327491211</t>
  </si>
  <si>
    <t xml:space="preserve">0335530347; </t>
  </si>
  <si>
    <t>0813602133; 0362908896</t>
  </si>
  <si>
    <t>Phan Văn Quyết</t>
  </si>
  <si>
    <t>0396882124</t>
  </si>
  <si>
    <t>Hồ Vũ Hoàng</t>
  </si>
  <si>
    <t>0937773136</t>
  </si>
  <si>
    <t>Nguyễn Việt Phương</t>
  </si>
  <si>
    <t>0862251616</t>
  </si>
  <si>
    <t>Tạ Tuấn Thành</t>
  </si>
  <si>
    <t>0814978018</t>
  </si>
  <si>
    <t>0936238885</t>
  </si>
  <si>
    <t>0911073787</t>
  </si>
  <si>
    <t>Võ Văn Ngà</t>
  </si>
  <si>
    <t>0392950092</t>
  </si>
  <si>
    <t>Nguyễn Thị Xuân</t>
  </si>
  <si>
    <t>0975949684</t>
  </si>
  <si>
    <t>Lao động phổ thông -x</t>
  </si>
  <si>
    <t>Nguyễn Thị Huệ</t>
  </si>
  <si>
    <t>0987689657</t>
  </si>
  <si>
    <t>Đàm Thị Thúy</t>
  </si>
  <si>
    <t>0337874416</t>
  </si>
  <si>
    <t>Đặng Thị Nguyệt</t>
  </si>
  <si>
    <t>0337118737</t>
  </si>
  <si>
    <t>Hà Văn Quân</t>
  </si>
  <si>
    <t>0362079791</t>
  </si>
  <si>
    <t>Phạm Thanh Sơn</t>
  </si>
  <si>
    <t xml:space="preserve">Xe nâng </t>
  </si>
  <si>
    <t>1/4/2026</t>
  </si>
  <si>
    <t>0356959140</t>
  </si>
  <si>
    <t>Đặng Văn Linh</t>
  </si>
  <si>
    <t>0394287961</t>
  </si>
  <si>
    <t>1974</t>
  </si>
  <si>
    <t>0964807921</t>
  </si>
  <si>
    <t>Tưởng Thanh Thuyết</t>
  </si>
  <si>
    <t>1989</t>
  </si>
  <si>
    <t>1977</t>
  </si>
  <si>
    <t>1988</t>
  </si>
  <si>
    <t>0819875168</t>
  </si>
  <si>
    <t>Hàn</t>
  </si>
  <si>
    <t>Phan Văn Bồi</t>
  </si>
  <si>
    <t>1973</t>
  </si>
  <si>
    <t>0913810114</t>
  </si>
  <si>
    <t>Bà con với Nhớ Trường Thịnh</t>
  </si>
  <si>
    <t>Vị trí xem xét</t>
  </si>
  <si>
    <t>Lái cẩu Liebherr -x</t>
  </si>
  <si>
    <t>Lái cẩu bánh xích -x</t>
  </si>
  <si>
    <t>Lái máy ủi -x</t>
  </si>
  <si>
    <t>Lái xe nâng -x</t>
  </si>
  <si>
    <t>Thợ vận hành băng tải -x</t>
  </si>
  <si>
    <t>Làm hành chính -x</t>
  </si>
  <si>
    <t>Phụ trách kho bãi -x</t>
  </si>
  <si>
    <t>Quản lý cơ giới -x</t>
  </si>
  <si>
    <t>Điều độ -x</t>
  </si>
  <si>
    <t>Sửa chữa -x</t>
  </si>
  <si>
    <t>Đặng Văn Hoàng</t>
  </si>
  <si>
    <t>1995</t>
  </si>
  <si>
    <t>0372766440</t>
  </si>
  <si>
    <t>Nguyễn Văn Công</t>
  </si>
  <si>
    <t>0336853000</t>
  </si>
  <si>
    <t>Hà Ngọc Đại</t>
  </si>
  <si>
    <t>Có thể làm điện chiếu sáng, đấu điện mô tô</t>
  </si>
  <si>
    <t>0349090789</t>
  </si>
  <si>
    <t>Phạm Việt Quốc</t>
  </si>
  <si>
    <t>1992</t>
  </si>
  <si>
    <t>0947895287</t>
  </si>
  <si>
    <t>Nguyễn Văn Tòng</t>
  </si>
  <si>
    <t>Chưa phỏng vấn</t>
  </si>
  <si>
    <t>0973877324</t>
  </si>
  <si>
    <t>Em Vợ Long BP, có thể làm điện hàn. Giao nhận vật tư. Đi đào tạo tại Nghi Thiết</t>
  </si>
  <si>
    <t>STT</t>
  </si>
  <si>
    <t>Tham chiếu</t>
  </si>
  <si>
    <t>DANH SÁCH ĐI ĐÀO TẠO</t>
  </si>
  <si>
    <t>Mới ra trường. Đi đào tạo tại Hòn La</t>
  </si>
  <si>
    <t xml:space="preserve">Máy đào ok. </t>
  </si>
  <si>
    <t>0852426991</t>
  </si>
  <si>
    <t>Hoàng Ngọc Đương</t>
  </si>
  <si>
    <t>Đã tuyển đến thời gian anh Huy chốt</t>
  </si>
  <si>
    <t>Trương Quang Tuấn</t>
  </si>
  <si>
    <t>5/3/2026</t>
  </si>
  <si>
    <t>2005</t>
  </si>
  <si>
    <t>Đã đi bộ đội về</t>
  </si>
  <si>
    <t>0838277218</t>
  </si>
  <si>
    <t>1990</t>
  </si>
  <si>
    <t xml:space="preserve">Có chứng chỉ lái máy xúc ủi nhưng chưa lái lần nào. </t>
  </si>
  <si>
    <t>Phan Công Minh</t>
  </si>
  <si>
    <t>0362555103</t>
  </si>
  <si>
    <t>Đặng Đình Lích</t>
  </si>
  <si>
    <t>0978438557</t>
  </si>
  <si>
    <t>Chưa đồng ý mức lương 13tr. Có quen nhiều FC, liên lạc nếu cần</t>
  </si>
  <si>
    <t>Nguyễn Việt Hải</t>
  </si>
  <si>
    <t>Điều độ vận tải. Tuy nhiên không đi làm 04 năm từ năm 2022</t>
  </si>
  <si>
    <t>1997</t>
  </si>
  <si>
    <t>0353331722</t>
  </si>
  <si>
    <t>Lê Văn Công</t>
  </si>
  <si>
    <t>1983</t>
  </si>
  <si>
    <t>0965118421</t>
  </si>
  <si>
    <t>Lưu hồ sơ để liên lạc, chưa chắc chắn</t>
  </si>
  <si>
    <t>Võ Văn Khương</t>
  </si>
  <si>
    <t>1980</t>
  </si>
  <si>
    <t>0818490153</t>
  </si>
  <si>
    <t>Chưa PV, Bình giới thiệu. Đội phó đội đầu kéo nội bộ</t>
  </si>
  <si>
    <t>Hồ Thành Đạt</t>
  </si>
  <si>
    <t>2004</t>
  </si>
  <si>
    <t>Đào tạo lại có thể lái máy ủi do đã học vận hành máy xúc ủi</t>
  </si>
  <si>
    <t>0343194618; 0384931607</t>
  </si>
  <si>
    <t>Lái được máy ủi. Hạn chế gọi lại do không tuân thủ thười gian đi làm</t>
  </si>
  <si>
    <t>Lê Thanh Ca</t>
  </si>
  <si>
    <t>Mới lấy bằng FC 16/01/2026</t>
  </si>
  <si>
    <t>1985</t>
  </si>
  <si>
    <t>0343209094</t>
  </si>
  <si>
    <t>Nguyễn Thị Tú Hằng</t>
  </si>
  <si>
    <t>0967689145</t>
  </si>
  <si>
    <t>Có thể làm thống kê</t>
  </si>
  <si>
    <t>Đinh Văn Lục</t>
  </si>
  <si>
    <t>0787575875</t>
  </si>
  <si>
    <t>Có bằng C, cũng sơ bộ cơ khí</t>
  </si>
  <si>
    <t>1986</t>
  </si>
  <si>
    <t>0986499773</t>
  </si>
  <si>
    <t>Nguyễn Quang Sơn</t>
  </si>
  <si>
    <t>Bình đưa thông tin. Xin nghĩ 18.3.26</t>
  </si>
  <si>
    <t>Trần Trung Bồn</t>
  </si>
  <si>
    <t>1979</t>
  </si>
  <si>
    <t>0815092686</t>
  </si>
  <si>
    <t>Trần Minh Tiến</t>
  </si>
  <si>
    <t>Thuyền trưởng tàu Lai dắt. Liên hệ khi cần</t>
  </si>
  <si>
    <t>1981</t>
  </si>
  <si>
    <t>0988688187</t>
  </si>
  <si>
    <t>Nguyễn Thị Hồng</t>
  </si>
  <si>
    <t>0375324974</t>
  </si>
  <si>
    <t>Nguyễn Thị Thanh Hoài</t>
  </si>
  <si>
    <t>0824104703</t>
  </si>
  <si>
    <t>Cao Văn Trinh</t>
  </si>
  <si>
    <t>0328717413</t>
  </si>
  <si>
    <t>Phạm Hải</t>
  </si>
  <si>
    <t>1976</t>
  </si>
  <si>
    <t>0384891445</t>
  </si>
  <si>
    <t>Võ Văn Tứ</t>
  </si>
  <si>
    <t>0847437609</t>
  </si>
  <si>
    <t>Ngô Minh Tân</t>
  </si>
  <si>
    <t>1975</t>
  </si>
  <si>
    <t>0398867975</t>
  </si>
  <si>
    <t>Thợ hàn</t>
  </si>
  <si>
    <t>Thợ hàn -x</t>
  </si>
  <si>
    <t>Trần Văn Tình</t>
  </si>
  <si>
    <t>0978740108</t>
  </si>
  <si>
    <t>Đang làm cảng than PTSC</t>
  </si>
  <si>
    <t>Chứng chỉ mới có 02/2026. Nhưng đã làm tầm 2,5 năm về xúc lât</t>
  </si>
  <si>
    <t>Nguyễn Thái Dương</t>
  </si>
  <si>
    <t>0961555357</t>
  </si>
  <si>
    <t>Lê Ngọc Vũ</t>
  </si>
  <si>
    <t xml:space="preserve"> Chứng chỉ bằng lắp ráp vỏ tàu thủy. Hàn bên Đài Loan, 3 năm, về nước 10/2025 (hàn kết cấu nhà xưởng). Trước khi đi Đài vận hành nhà máy nước Hòn La 8 năm (nhân viên vận hành). Biết một ít về điện dân dụng. Từ 10/2025 đến 12/2025 làm lắp ráp máy móc, băng tải bên Dohwa. </t>
  </si>
  <si>
    <t xml:space="preserve">Chứng chỉ trung cấp quản trị kinh doanh (bán hàng). Hàn nhà xưởng công nghiệp, 04 năm mỏ xưởng cơ khí ở nhà, 02 năm làm công ty thép việt (làm tượng đài), 2023-2025 làm ở Nhiệt điện 1 làm lắp kết cấu nhà xưởng. Biết một ít về điện dân dụng. Từ 10/2025 đến 12/2025 làm lắp ráp máy móc, băng tải bên Dohwa. </t>
  </si>
  <si>
    <t>0917002336</t>
  </si>
  <si>
    <t>Trương Hoàng</t>
  </si>
  <si>
    <t>1987</t>
  </si>
  <si>
    <t>0862453583</t>
  </si>
  <si>
    <t>Chạy đi về, đề nghị lên lương chút!</t>
  </si>
  <si>
    <t>Hàn cắt 02 năm, hàn về nhà xưởng bên công ty Lillama 18. Hàn cắt khung gầm oto Ben khoảng 4 tháng</t>
  </si>
  <si>
    <t xml:space="preserve"> 0988599499</t>
  </si>
  <si>
    <t>Dương Phước Thành</t>
  </si>
  <si>
    <t>2002</t>
  </si>
  <si>
    <t>0366499066</t>
  </si>
  <si>
    <t>Nguyễn Văn Tài</t>
  </si>
  <si>
    <t>0971253190</t>
  </si>
  <si>
    <t>Có thể lái máy đào, xúc lật. Đã đi làm cho VPCC từ ngày 4/42026 sau 02 ngày bỏ</t>
  </si>
  <si>
    <t>A Vinh</t>
  </si>
  <si>
    <t>0974130452</t>
  </si>
  <si>
    <t>Em Thịnh</t>
  </si>
  <si>
    <t>Đã làm tại công trình năm 2025</t>
  </si>
  <si>
    <t>0819078084</t>
  </si>
  <si>
    <t>Phạm Văn Hà</t>
  </si>
  <si>
    <t>0346881191</t>
  </si>
  <si>
    <t>Đàm Quang Hòa</t>
  </si>
  <si>
    <t>0342030844</t>
  </si>
  <si>
    <t>Cao Xuân Diện</t>
  </si>
  <si>
    <t>0367668178</t>
  </si>
  <si>
    <t>Có 01 bạn đang thử việc ngày 8/4/26</t>
  </si>
  <si>
    <t>Tưởng Đức Minh</t>
  </si>
  <si>
    <t>0868919003</t>
  </si>
  <si>
    <t>Đàm Trung Hiếu</t>
  </si>
  <si>
    <t>0374487351</t>
  </si>
  <si>
    <t>Phạm Trọng Ngọc</t>
  </si>
  <si>
    <t>1993</t>
  </si>
  <si>
    <t>0826441777</t>
  </si>
  <si>
    <t>Kiến nghị 13tr</t>
  </si>
  <si>
    <t>Có thể chạy được đầu kéo. Đã chạy cho Hùng Cường. Chạy 12 năm chuyên xe Ben</t>
  </si>
  <si>
    <t>Đang lái cẩu ở formosa. Quen Bình. Báo trước 1 tháng</t>
  </si>
  <si>
    <t>350K/công/8h; 50K/h tăng ca</t>
  </si>
  <si>
    <t>Nguyễn Cao Kỳ</t>
  </si>
  <si>
    <t>Nguyễn Quyết</t>
  </si>
  <si>
    <t>1982</t>
  </si>
  <si>
    <t>0338486341</t>
  </si>
  <si>
    <t>Lê Thanh Hoàn</t>
  </si>
  <si>
    <t>0338970730</t>
  </si>
  <si>
    <t>0909177481</t>
  </si>
  <si>
    <t xml:space="preserve">Có thể lái được xe ben bằng D, </t>
  </si>
  <si>
    <t>Tình - Đang làm với Trang</t>
  </si>
  <si>
    <t>Đang làm VPCC</t>
  </si>
  <si>
    <t>Sẽ chuyển sang làm khai thác cảng</t>
  </si>
  <si>
    <t>Có bạn Tình đã làm VPCC sẽ chuyển sang làm</t>
  </si>
  <si>
    <t>Đàm Quốc Tịnh</t>
  </si>
  <si>
    <t>Võ Văn Sơn</t>
  </si>
  <si>
    <t>1967</t>
  </si>
  <si>
    <t>0705291164</t>
  </si>
  <si>
    <t>Nguyễn Hoài Minh</t>
  </si>
  <si>
    <t>0941284198</t>
  </si>
  <si>
    <t>Nguyễn Xuân Tín</t>
  </si>
  <si>
    <t>1999</t>
  </si>
  <si>
    <t>0382164711</t>
  </si>
  <si>
    <t>Lê Văn Sơn</t>
  </si>
  <si>
    <t>Lái xúc lật, máy đào</t>
  </si>
  <si>
    <t>1991</t>
  </si>
  <si>
    <t>0777512025</t>
  </si>
  <si>
    <t>2/5/2026</t>
  </si>
  <si>
    <t>25/4/2026</t>
  </si>
  <si>
    <t>24/4/2026</t>
  </si>
  <si>
    <t>Ghichú(đội thiết bị,trạm cân,băng tải,cơ điện, sửa chữa,hàn: là28 công/tháng,lái 02 thiết bị;bảo vệ full tháng; vănph, điều độ, quanrly nc 26công; Giờ tăng ca 80K/h,lđ50K; 8h/ca; FC, máy ủi, Liebherr-14tr; Các loại máy 13tr;bánh xích 20t;hàn 11t- tốt12t</t>
  </si>
  <si>
    <t>đến ngày 4/3/26: tuyển thêm 02, ngày 22/4 tuyển thêm Cao kỳ (mẫu thuẩn với Trang), vậy còn 02 người (trừ 02 người đã làm từ năm 2025)</t>
  </si>
  <si>
    <t>Lê Văn Tiến</t>
  </si>
  <si>
    <t>Phạm Ngọc Minh</t>
  </si>
  <si>
    <t>Dương Thanh Tuấn</t>
  </si>
  <si>
    <t xml:space="preserve">Nguyễn Huy Hoàng </t>
  </si>
  <si>
    <t>0898238567</t>
  </si>
  <si>
    <t>0339037086</t>
  </si>
  <si>
    <t>0912376975</t>
  </si>
  <si>
    <t>0389607911</t>
  </si>
  <si>
    <t>Võ Quang Hoàng</t>
  </si>
  <si>
    <t>3/5/2026</t>
  </si>
  <si>
    <t>0365137319</t>
  </si>
  <si>
    <t>Trần Văn Tài</t>
  </si>
  <si>
    <t>1978</t>
  </si>
  <si>
    <t>0988189964</t>
  </si>
  <si>
    <t>Cần kế hoạch xin nghỉ trước 20 ngày</t>
  </si>
  <si>
    <t>Bằng lái máy công trình năm 2011. đã làm nhưng nghĩ</t>
  </si>
  <si>
    <t>Yêu cầu lương 13tr/tháng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</si>
</sst>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quot;$&quot;#,##0.00"/>
  </numFmts>
  <fonts count="21" x14ac:knownFonts="1">
    <font>
      <sz val="11"/>
      <color theme="1"/>
      <name val="Calibri"/>
      <family val="2"/>
      <scheme val="minor"/>
    </font>
    <font>
      <sz val="11"/>
      <color theme="1"/>
      <name val="Calibri"/>
      <family val="2"/>
      <scheme val="minor"/>
    </font>
    <font>
      <b/>
      <sz val="11"/>
      <color theme="1"/>
      <name val="Calibri"/>
      <family val="2"/>
      <charset val="163"/>
      <scheme val="minor"/>
    </font>
    <font>
      <sz val="11"/>
      <color theme="1"/>
      <name val="Times New Roman"/>
      <family val="1"/>
      <charset val="163"/>
    </font>
    <font>
      <sz val="9"/>
      <color indexed="81"/>
      <name val="Tahoma"/>
      <family val="2"/>
      <charset val="163"/>
    </font>
    <font>
      <b/>
      <sz val="9"/>
      <color indexed="81"/>
      <name val="Tahoma"/>
      <family val="2"/>
      <charset val="163"/>
    </font>
    <font>
      <b/>
      <sz val="11"/>
      <color theme="1"/>
      <name val="Times New Roman"/>
      <family val="1"/>
      <charset val="163"/>
    </font>
    <font>
      <sz val="11"/>
      <color rgb="FF0000CC"/>
      <name val="Times New Roman"/>
      <family val="1"/>
      <charset val="163"/>
    </font>
    <font>
      <b/>
      <sz val="11"/>
      <color rgb="FFFF0000"/>
      <name val="Times New Roman"/>
      <family val="1"/>
      <charset val="163"/>
    </font>
    <font>
      <sz val="9"/>
      <color indexed="81"/>
      <name val="Tahoma"/>
      <family val="2"/>
    </font>
    <font>
      <b/>
      <sz val="9"/>
      <color indexed="81"/>
      <name val="Tahoma"/>
      <family val="2"/>
    </font>
    <font>
      <sz val="11"/>
      <color rgb="FFFF0000"/>
      <name val="Times New Roman"/>
      <family val="1"/>
      <charset val="163"/>
    </font>
    <font>
      <i/>
      <sz val="11"/>
      <color theme="1"/>
      <name val="Times New Roman"/>
      <family val="1"/>
      <charset val="163"/>
    </font>
    <font>
      <sz val="11"/>
      <color theme="8"/>
      <name val="Times New Roman"/>
      <family val="1"/>
      <charset val="163"/>
    </font>
    <font>
      <b/>
      <i/>
      <sz val="11"/>
      <color rgb="FFFF0000"/>
      <name val="Times New Roman"/>
      <family val="1"/>
      <charset val="163"/>
    </font>
    <font>
      <i/>
      <sz val="11"/>
      <color theme="5" tint="-0.249977111117893"/>
      <name val="Times New Roman"/>
      <family val="1"/>
      <charset val="163"/>
    </font>
    <font>
      <i/>
      <sz val="11"/>
      <color rgb="FFFF0000"/>
      <name val="Times New Roman"/>
      <family val="1"/>
      <charset val="163"/>
    </font>
    <font>
      <sz val="11"/>
      <color theme="5" tint="-0.24994659260841701"/>
      <name val="Times New Roman"/>
      <family val="1"/>
      <charset val="163"/>
    </font>
    <font>
      <sz val="11"/>
      <color theme="5" tint="-0.249977111117893"/>
      <name val="Times New Roman"/>
      <family val="1"/>
      <charset val="163"/>
    </font>
    <font>
      <sz val="8"/>
      <name val="Calibri"/>
      <family val="2"/>
      <scheme val="minor"/>
    </font>
    <font>
      <sz val="11"/>
      <color theme="1"/>
      <name val="Times New Roman"/>
      <family val="1"/>
    </font>
  </fonts>
  <fills count="8">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162">
    <xf numFmtId="0" fontId="0" fillId="0" borderId="0" xfId="0"/>
    <xf numFmtId="0" fontId="3" fillId="0" borderId="1" xfId="0" applyFont="1" applyBorder="1" applyAlignment="1">
      <alignment horizontal="justify" vertical="center" wrapText="1"/>
    </xf>
    <xf numFmtId="0" fontId="3" fillId="3" borderId="1" xfId="0" applyFont="1" applyFill="1" applyBorder="1" applyAlignment="1">
      <alignment horizontal="justify" vertical="center" wrapText="1"/>
    </xf>
    <xf numFmtId="0" fontId="6" fillId="0" borderId="1" xfId="0" applyFont="1" applyBorder="1" applyAlignment="1">
      <alignment horizontal="center" vertical="center" wrapText="1"/>
    </xf>
    <xf numFmtId="164" fontId="3" fillId="0" borderId="1" xfId="1" applyNumberFormat="1" applyFont="1" applyBorder="1" applyAlignment="1">
      <alignment horizontal="center" vertical="center" wrapText="1"/>
    </xf>
    <xf numFmtId="164" fontId="7" fillId="0" borderId="1" xfId="1" applyNumberFormat="1" applyFont="1" applyBorder="1" applyAlignment="1">
      <alignment vertical="center"/>
    </xf>
    <xf numFmtId="164" fontId="8" fillId="0" borderId="1" xfId="1" applyNumberFormat="1" applyFont="1" applyBorder="1" applyAlignment="1">
      <alignment vertical="center"/>
    </xf>
    <xf numFmtId="164" fontId="3" fillId="0" borderId="1" xfId="1" applyNumberFormat="1" applyFont="1" applyBorder="1" applyAlignment="1">
      <alignment vertical="center"/>
    </xf>
    <xf numFmtId="0" fontId="3" fillId="0" borderId="1" xfId="0" applyFont="1" applyBorder="1"/>
    <xf numFmtId="164" fontId="3" fillId="3" borderId="1" xfId="1" applyNumberFormat="1" applyFont="1" applyFill="1" applyBorder="1" applyAlignment="1">
      <alignment horizontal="center" vertical="center" wrapText="1"/>
    </xf>
    <xf numFmtId="164" fontId="7" fillId="3" borderId="1" xfId="1" applyNumberFormat="1" applyFont="1" applyFill="1" applyBorder="1" applyAlignment="1">
      <alignment vertical="center"/>
    </xf>
    <xf numFmtId="164" fontId="3" fillId="3" borderId="1" xfId="1" applyNumberFormat="1" applyFont="1" applyFill="1" applyBorder="1" applyAlignment="1">
      <alignment vertical="center"/>
    </xf>
    <xf numFmtId="164" fontId="0" fillId="0" borderId="0" xfId="0" applyNumberFormat="1"/>
    <xf numFmtId="164" fontId="2" fillId="0" borderId="0" xfId="0" applyNumberFormat="1" applyFont="1"/>
    <xf numFmtId="0" fontId="3" fillId="0" borderId="2" xfId="0" applyFont="1" applyBorder="1" applyAlignment="1">
      <alignment horizontal="left" vertical="center"/>
    </xf>
    <xf numFmtId="0" fontId="6" fillId="0" borderId="0" xfId="0" applyFont="1" applyAlignment="1">
      <alignment vertical="center"/>
    </xf>
    <xf numFmtId="0" fontId="3" fillId="0" borderId="0" xfId="0" applyFont="1" applyAlignment="1">
      <alignment vertical="center"/>
    </xf>
    <xf numFmtId="0" fontId="11" fillId="4" borderId="0" xfId="0" applyFont="1" applyFill="1" applyAlignment="1">
      <alignment vertical="center"/>
    </xf>
    <xf numFmtId="0" fontId="3" fillId="2" borderId="0" xfId="0" applyFont="1" applyFill="1" applyAlignment="1">
      <alignment vertical="center"/>
    </xf>
    <xf numFmtId="2" fontId="3" fillId="2" borderId="0" xfId="0" applyNumberFormat="1" applyFont="1" applyFill="1" applyAlignment="1">
      <alignment vertical="center"/>
    </xf>
    <xf numFmtId="0" fontId="3" fillId="3" borderId="0" xfId="0" applyFont="1" applyFill="1" applyAlignment="1">
      <alignment vertical="center"/>
    </xf>
    <xf numFmtId="164" fontId="3" fillId="0" borderId="2" xfId="1" applyNumberFormat="1" applyFont="1" applyBorder="1" applyAlignment="1">
      <alignment vertical="center"/>
    </xf>
    <xf numFmtId="0" fontId="3" fillId="0" borderId="1" xfId="0" applyFont="1" applyBorder="1" applyAlignment="1">
      <alignment vertical="center"/>
    </xf>
    <xf numFmtId="0" fontId="11" fillId="4" borderId="2" xfId="0" applyFont="1" applyFill="1" applyBorder="1" applyAlignment="1">
      <alignment horizontal="left" vertical="center"/>
    </xf>
    <xf numFmtId="14" fontId="3" fillId="0" borderId="2" xfId="0" applyNumberFormat="1" applyFont="1" applyBorder="1" applyAlignment="1">
      <alignment horizontal="left" vertical="center"/>
    </xf>
    <xf numFmtId="0" fontId="3" fillId="0" borderId="2" xfId="0" applyFont="1" applyBorder="1" applyAlignment="1">
      <alignment vertical="center"/>
    </xf>
    <xf numFmtId="0" fontId="3" fillId="2" borderId="1" xfId="0" applyFont="1" applyFill="1" applyBorder="1" applyAlignment="1">
      <alignment horizontal="left" vertical="center"/>
    </xf>
    <xf numFmtId="0" fontId="3" fillId="2" borderId="1" xfId="0" applyFont="1" applyFill="1" applyBorder="1" applyAlignment="1">
      <alignment vertical="center"/>
    </xf>
    <xf numFmtId="43" fontId="3" fillId="2" borderId="2" xfId="1" quotePrefix="1" applyFont="1" applyFill="1" applyBorder="1" applyAlignment="1">
      <alignment horizontal="left" vertical="center"/>
    </xf>
    <xf numFmtId="0" fontId="3" fillId="0" borderId="1" xfId="0" applyFont="1" applyBorder="1" applyAlignment="1">
      <alignment horizontal="left" vertical="center"/>
    </xf>
    <xf numFmtId="0" fontId="11" fillId="4" borderId="1" xfId="0" applyFont="1" applyFill="1" applyBorder="1" applyAlignment="1">
      <alignment horizontal="left" vertical="center"/>
    </xf>
    <xf numFmtId="14" fontId="3" fillId="0" borderId="1" xfId="0" applyNumberFormat="1" applyFont="1" applyBorder="1" applyAlignment="1">
      <alignment horizontal="left" vertical="center"/>
    </xf>
    <xf numFmtId="43" fontId="3" fillId="2" borderId="1" xfId="1" quotePrefix="1" applyFont="1" applyFill="1" applyBorder="1" applyAlignment="1">
      <alignment horizontal="left" vertical="center"/>
    </xf>
    <xf numFmtId="14" fontId="3" fillId="0" borderId="2" xfId="0" applyNumberFormat="1" applyFont="1" applyBorder="1" applyAlignment="1">
      <alignment vertical="center"/>
    </xf>
    <xf numFmtId="0" fontId="3" fillId="2" borderId="2" xfId="0" applyFont="1" applyFill="1" applyBorder="1" applyAlignment="1">
      <alignment horizontal="left" vertical="center"/>
    </xf>
    <xf numFmtId="0" fontId="3" fillId="2" borderId="2" xfId="0" applyFont="1" applyFill="1" applyBorder="1" applyAlignment="1">
      <alignment vertical="center"/>
    </xf>
    <xf numFmtId="164" fontId="3" fillId="0" borderId="2" xfId="1" applyNumberFormat="1" applyFont="1" applyBorder="1" applyAlignment="1">
      <alignment horizontal="center" vertical="center"/>
    </xf>
    <xf numFmtId="0" fontId="11" fillId="4" borderId="1" xfId="0" applyFont="1" applyFill="1" applyBorder="1" applyAlignment="1">
      <alignment vertical="center"/>
    </xf>
    <xf numFmtId="14" fontId="13" fillId="0" borderId="1" xfId="0" applyNumberFormat="1" applyFont="1" applyBorder="1" applyAlignment="1">
      <alignment horizontal="left" vertical="center"/>
    </xf>
    <xf numFmtId="43" fontId="3" fillId="2" borderId="1" xfId="1" applyFont="1" applyFill="1" applyBorder="1" applyAlignment="1">
      <alignment horizontal="left" vertical="center"/>
    </xf>
    <xf numFmtId="49" fontId="3" fillId="2" borderId="1" xfId="1" quotePrefix="1" applyNumberFormat="1" applyFont="1" applyFill="1" applyBorder="1" applyAlignment="1">
      <alignment horizontal="left" vertical="center"/>
    </xf>
    <xf numFmtId="49" fontId="3" fillId="2" borderId="2" xfId="1" quotePrefix="1" applyNumberFormat="1" applyFont="1" applyFill="1" applyBorder="1" applyAlignment="1">
      <alignment horizontal="left" vertical="center"/>
    </xf>
    <xf numFmtId="49" fontId="3" fillId="2" borderId="1" xfId="1" applyNumberFormat="1" applyFont="1" applyFill="1" applyBorder="1" applyAlignment="1">
      <alignment horizontal="left" vertical="center"/>
    </xf>
    <xf numFmtId="0" fontId="3" fillId="0" borderId="1" xfId="0" applyFont="1" applyBorder="1" applyAlignment="1">
      <alignment vertical="center" wrapText="1"/>
    </xf>
    <xf numFmtId="0" fontId="14" fillId="0" borderId="0" xfId="0" applyFont="1" applyAlignment="1">
      <alignment vertical="center"/>
    </xf>
    <xf numFmtId="164" fontId="14" fillId="0" borderId="0" xfId="0" applyNumberFormat="1" applyFont="1" applyAlignment="1">
      <alignment vertical="center"/>
    </xf>
    <xf numFmtId="0" fontId="15" fillId="0" borderId="1" xfId="0" applyFont="1" applyBorder="1" applyAlignment="1">
      <alignment vertical="center"/>
    </xf>
    <xf numFmtId="0" fontId="16" fillId="0" borderId="1" xfId="0" applyFont="1" applyBorder="1" applyAlignment="1">
      <alignment vertical="center"/>
    </xf>
    <xf numFmtId="2" fontId="3" fillId="0" borderId="1" xfId="0" applyNumberFormat="1" applyFont="1" applyBorder="1" applyAlignment="1">
      <alignment vertical="center" wrapText="1"/>
    </xf>
    <xf numFmtId="0" fontId="11" fillId="0" borderId="1" xfId="0" applyFont="1" applyBorder="1" applyAlignment="1">
      <alignment vertical="center" wrapText="1"/>
    </xf>
    <xf numFmtId="0" fontId="15" fillId="0" borderId="1" xfId="0" applyFont="1" applyBorder="1" applyAlignment="1">
      <alignment vertical="center" wrapText="1"/>
    </xf>
    <xf numFmtId="0" fontId="3" fillId="3" borderId="1" xfId="0" applyFont="1" applyFill="1" applyBorder="1" applyAlignment="1">
      <alignment vertical="center"/>
    </xf>
    <xf numFmtId="0" fontId="3" fillId="3" borderId="6" xfId="0" applyFont="1" applyFill="1" applyBorder="1" applyAlignment="1">
      <alignment horizontal="justify" vertical="center" wrapText="1"/>
    </xf>
    <xf numFmtId="0" fontId="3" fillId="3" borderId="7" xfId="0" applyFont="1" applyFill="1" applyBorder="1" applyAlignment="1">
      <alignment vertical="center"/>
    </xf>
    <xf numFmtId="165" fontId="12" fillId="3" borderId="7" xfId="0" applyNumberFormat="1" applyFont="1" applyFill="1" applyBorder="1" applyAlignment="1">
      <alignment vertical="center" wrapText="1"/>
    </xf>
    <xf numFmtId="0" fontId="3" fillId="3" borderId="8" xfId="0" applyFont="1" applyFill="1" applyBorder="1" applyAlignment="1">
      <alignment horizontal="justify" vertical="center" wrapText="1"/>
    </xf>
    <xf numFmtId="0" fontId="3" fillId="3" borderId="9" xfId="0" applyFont="1" applyFill="1" applyBorder="1" applyAlignment="1">
      <alignment vertical="center"/>
    </xf>
    <xf numFmtId="0" fontId="3" fillId="3" borderId="10" xfId="0" applyFont="1" applyFill="1" applyBorder="1" applyAlignment="1">
      <alignment vertical="center"/>
    </xf>
    <xf numFmtId="0" fontId="3" fillId="3" borderId="11" xfId="0" applyFont="1" applyFill="1" applyBorder="1" applyAlignment="1">
      <alignment horizontal="justify" vertical="center" wrapText="1"/>
    </xf>
    <xf numFmtId="0" fontId="3" fillId="3" borderId="3" xfId="0" applyFont="1" applyFill="1" applyBorder="1" applyAlignment="1">
      <alignment vertical="center"/>
    </xf>
    <xf numFmtId="164" fontId="6" fillId="3" borderId="3" xfId="1" applyNumberFormat="1" applyFont="1" applyFill="1" applyBorder="1" applyAlignment="1">
      <alignment vertical="center"/>
    </xf>
    <xf numFmtId="0" fontId="3" fillId="3" borderId="12" xfId="0" applyFont="1" applyFill="1" applyBorder="1" applyAlignment="1">
      <alignment vertical="center"/>
    </xf>
    <xf numFmtId="0" fontId="6" fillId="3" borderId="13" xfId="0" applyFont="1" applyFill="1" applyBorder="1" applyAlignment="1">
      <alignment horizontal="center" vertical="center"/>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xf>
    <xf numFmtId="0" fontId="3" fillId="2" borderId="1" xfId="0" quotePrefix="1" applyFont="1" applyFill="1" applyBorder="1" applyAlignment="1">
      <alignment horizontal="left" vertical="center"/>
    </xf>
    <xf numFmtId="0" fontId="3" fillId="5" borderId="0" xfId="0" applyFont="1" applyFill="1" applyAlignment="1">
      <alignment vertical="center"/>
    </xf>
    <xf numFmtId="0" fontId="6" fillId="6" borderId="0" xfId="0" applyFont="1" applyFill="1" applyAlignment="1">
      <alignment vertical="center"/>
    </xf>
    <xf numFmtId="49" fontId="3" fillId="6" borderId="2" xfId="1" applyNumberFormat="1" applyFont="1" applyFill="1" applyBorder="1" applyAlignment="1">
      <alignment vertical="center"/>
    </xf>
    <xf numFmtId="0" fontId="3" fillId="6" borderId="0" xfId="0" applyFont="1" applyFill="1" applyAlignment="1">
      <alignment vertical="center"/>
    </xf>
    <xf numFmtId="0" fontId="6" fillId="0" borderId="3" xfId="0" applyFont="1" applyBorder="1" applyAlignment="1">
      <alignment horizontal="center" vertical="center"/>
    </xf>
    <xf numFmtId="0" fontId="6" fillId="6" borderId="3" xfId="0" applyFont="1" applyFill="1" applyBorder="1" applyAlignment="1">
      <alignment horizontal="center" vertical="center"/>
    </xf>
    <xf numFmtId="0" fontId="8" fillId="4"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2" borderId="3" xfId="0" applyFont="1" applyFill="1" applyBorder="1" applyAlignment="1">
      <alignment horizontal="center" vertical="center" wrapText="1"/>
    </xf>
    <xf numFmtId="2" fontId="6" fillId="2" borderId="3" xfId="0" applyNumberFormat="1" applyFont="1" applyFill="1" applyBorder="1" applyAlignment="1">
      <alignment horizontal="center" vertical="center"/>
    </xf>
    <xf numFmtId="0" fontId="3" fillId="3" borderId="16" xfId="0" applyFont="1" applyFill="1" applyBorder="1" applyAlignment="1">
      <alignment horizontal="justify" vertical="center" wrapText="1"/>
    </xf>
    <xf numFmtId="0" fontId="3" fillId="3" borderId="2" xfId="0" applyFont="1" applyFill="1" applyBorder="1" applyAlignment="1">
      <alignment vertical="center"/>
    </xf>
    <xf numFmtId="0" fontId="3" fillId="3" borderId="17" xfId="0" applyFont="1" applyFill="1" applyBorder="1" applyAlignment="1">
      <alignment vertical="center"/>
    </xf>
    <xf numFmtId="164" fontId="6" fillId="3" borderId="18" xfId="1" applyNumberFormat="1" applyFont="1" applyFill="1" applyBorder="1" applyAlignment="1">
      <alignment vertical="center"/>
    </xf>
    <xf numFmtId="0" fontId="12" fillId="3" borderId="16" xfId="0" applyFont="1" applyFill="1" applyBorder="1" applyAlignment="1">
      <alignment horizontal="justify" vertical="center" wrapText="1"/>
    </xf>
    <xf numFmtId="43" fontId="3" fillId="2" borderId="2" xfId="1" quotePrefix="1" applyFont="1" applyFill="1" applyBorder="1" applyAlignment="1">
      <alignment vertical="center" wrapText="1"/>
    </xf>
    <xf numFmtId="49" fontId="3" fillId="2" borderId="1" xfId="1" applyNumberFormat="1" applyFont="1" applyFill="1" applyBorder="1" applyAlignment="1">
      <alignment horizontal="left" vertical="center" wrapText="1"/>
    </xf>
    <xf numFmtId="43" fontId="3" fillId="2" borderId="2" xfId="1" quotePrefix="1" applyFont="1" applyFill="1" applyBorder="1" applyAlignment="1">
      <alignment horizontal="left" vertical="center" wrapText="1"/>
    </xf>
    <xf numFmtId="49" fontId="3" fillId="0" borderId="1" xfId="1" applyNumberFormat="1" applyFont="1" applyBorder="1" applyAlignment="1">
      <alignment vertical="center"/>
    </xf>
    <xf numFmtId="49" fontId="3" fillId="0" borderId="1" xfId="1" applyNumberFormat="1" applyFont="1" applyBorder="1" applyAlignment="1">
      <alignment horizontal="left" vertical="center"/>
    </xf>
    <xf numFmtId="49" fontId="3" fillId="2" borderId="1" xfId="0" applyNumberFormat="1" applyFont="1" applyFill="1" applyBorder="1" applyAlignment="1">
      <alignment vertical="center"/>
    </xf>
    <xf numFmtId="49" fontId="3" fillId="2" borderId="1" xfId="1" applyNumberFormat="1" applyFont="1" applyFill="1" applyBorder="1" applyAlignment="1">
      <alignment vertical="center"/>
    </xf>
    <xf numFmtId="49" fontId="3" fillId="2" borderId="1" xfId="0" applyNumberFormat="1" applyFont="1" applyFill="1" applyBorder="1" applyAlignment="1">
      <alignment horizontal="left" vertical="center"/>
    </xf>
    <xf numFmtId="0" fontId="11" fillId="0" borderId="1" xfId="0" applyFont="1" applyBorder="1" applyAlignment="1">
      <alignment vertical="center"/>
    </xf>
    <xf numFmtId="164" fontId="6" fillId="5" borderId="0" xfId="0" applyNumberFormat="1" applyFont="1" applyFill="1" applyAlignment="1">
      <alignment vertical="center"/>
    </xf>
    <xf numFmtId="0" fontId="17" fillId="0" borderId="1" xfId="0" applyFont="1" applyBorder="1" applyAlignment="1">
      <alignment vertical="center"/>
    </xf>
    <xf numFmtId="0" fontId="18" fillId="0" borderId="1" xfId="0" applyFont="1" applyBorder="1" applyAlignment="1">
      <alignment vertical="center"/>
    </xf>
    <xf numFmtId="164" fontId="3" fillId="7" borderId="1" xfId="1" applyNumberFormat="1" applyFont="1" applyFill="1" applyBorder="1" applyAlignment="1">
      <alignment vertical="center"/>
    </xf>
    <xf numFmtId="49" fontId="3" fillId="7" borderId="2" xfId="1" applyNumberFormat="1" applyFont="1" applyFill="1" applyBorder="1" applyAlignment="1">
      <alignment vertical="center"/>
    </xf>
    <xf numFmtId="0" fontId="3" fillId="7" borderId="1" xfId="0" applyFont="1" applyFill="1" applyBorder="1" applyAlignment="1">
      <alignment horizontal="left" vertical="center"/>
    </xf>
    <xf numFmtId="0" fontId="3" fillId="7" borderId="1" xfId="0" applyFont="1" applyFill="1" applyBorder="1" applyAlignment="1">
      <alignment vertical="center"/>
    </xf>
    <xf numFmtId="0" fontId="11" fillId="7" borderId="1" xfId="0" applyFont="1" applyFill="1" applyBorder="1" applyAlignment="1">
      <alignment vertical="center"/>
    </xf>
    <xf numFmtId="14" fontId="13" fillId="7" borderId="1" xfId="0" applyNumberFormat="1" applyFont="1" applyFill="1" applyBorder="1" applyAlignment="1">
      <alignment horizontal="left" vertical="center"/>
    </xf>
    <xf numFmtId="43" fontId="3" fillId="7" borderId="1" xfId="1" quotePrefix="1" applyFont="1" applyFill="1" applyBorder="1" applyAlignment="1">
      <alignment horizontal="left" vertical="center"/>
    </xf>
    <xf numFmtId="0" fontId="3" fillId="7" borderId="0" xfId="0" applyFont="1" applyFill="1" applyAlignment="1">
      <alignment vertical="center"/>
    </xf>
    <xf numFmtId="0" fontId="3" fillId="7" borderId="6" xfId="0" applyFont="1" applyFill="1" applyBorder="1" applyAlignment="1">
      <alignment horizontal="justify" vertical="center" wrapText="1"/>
    </xf>
    <xf numFmtId="164" fontId="6" fillId="7" borderId="3" xfId="1" applyNumberFormat="1" applyFont="1" applyFill="1" applyBorder="1" applyAlignment="1">
      <alignment vertical="center"/>
    </xf>
    <xf numFmtId="0" fontId="3" fillId="7" borderId="7" xfId="0" applyFont="1" applyFill="1" applyBorder="1" applyAlignment="1">
      <alignment vertical="center"/>
    </xf>
    <xf numFmtId="164" fontId="6" fillId="7" borderId="0" xfId="0" applyNumberFormat="1" applyFont="1" applyFill="1" applyAlignment="1">
      <alignment vertical="center"/>
    </xf>
    <xf numFmtId="14" fontId="3" fillId="7" borderId="1" xfId="0" applyNumberFormat="1" applyFont="1" applyFill="1" applyBorder="1" applyAlignment="1">
      <alignment horizontal="left" vertical="center"/>
    </xf>
    <xf numFmtId="49" fontId="3" fillId="7" borderId="1" xfId="1" quotePrefix="1" applyNumberFormat="1" applyFont="1" applyFill="1" applyBorder="1" applyAlignment="1">
      <alignment horizontal="left" vertical="center"/>
    </xf>
    <xf numFmtId="0" fontId="3" fillId="7" borderId="1" xfId="0" applyFont="1" applyFill="1" applyBorder="1" applyAlignment="1">
      <alignment vertical="center" wrapText="1"/>
    </xf>
    <xf numFmtId="49" fontId="3" fillId="7" borderId="1" xfId="1" applyNumberFormat="1" applyFont="1" applyFill="1" applyBorder="1" applyAlignment="1">
      <alignment horizontal="left" vertical="center"/>
    </xf>
    <xf numFmtId="0" fontId="3" fillId="7" borderId="16" xfId="0" applyFont="1" applyFill="1" applyBorder="1" applyAlignment="1">
      <alignment horizontal="justify" vertical="center" wrapText="1"/>
    </xf>
    <xf numFmtId="0" fontId="3" fillId="7" borderId="2" xfId="0" applyFont="1" applyFill="1" applyBorder="1" applyAlignment="1">
      <alignment vertical="center"/>
    </xf>
    <xf numFmtId="0" fontId="3" fillId="7" borderId="17" xfId="0" applyFont="1" applyFill="1" applyBorder="1" applyAlignment="1">
      <alignment vertical="center"/>
    </xf>
    <xf numFmtId="0" fontId="15" fillId="7" borderId="1" xfId="0" applyFont="1" applyFill="1" applyBorder="1" applyAlignment="1">
      <alignment vertical="center" wrapText="1"/>
    </xf>
    <xf numFmtId="0" fontId="11" fillId="7" borderId="1" xfId="0" applyFont="1" applyFill="1" applyBorder="1" applyAlignment="1">
      <alignment vertical="center" wrapText="1"/>
    </xf>
    <xf numFmtId="164" fontId="3" fillId="0" borderId="1" xfId="1" applyNumberFormat="1" applyFont="1" applyFill="1" applyBorder="1" applyAlignment="1">
      <alignment vertical="center"/>
    </xf>
    <xf numFmtId="49" fontId="3" fillId="0" borderId="2" xfId="1" applyNumberFormat="1" applyFont="1" applyFill="1" applyBorder="1" applyAlignment="1">
      <alignment vertical="center"/>
    </xf>
    <xf numFmtId="49" fontId="3" fillId="0" borderId="1" xfId="1" applyNumberFormat="1" applyFont="1" applyFill="1" applyBorder="1" applyAlignment="1">
      <alignment horizontal="left" vertical="center"/>
    </xf>
    <xf numFmtId="49" fontId="3" fillId="0" borderId="1" xfId="1" quotePrefix="1" applyNumberFormat="1" applyFont="1" applyFill="1" applyBorder="1" applyAlignment="1">
      <alignment horizontal="left" vertical="center"/>
    </xf>
    <xf numFmtId="49" fontId="3" fillId="0" borderId="1" xfId="0" applyNumberFormat="1" applyFont="1" applyBorder="1" applyAlignment="1">
      <alignment horizontal="left" vertical="center"/>
    </xf>
    <xf numFmtId="49" fontId="3" fillId="0" borderId="1" xfId="1" applyNumberFormat="1" applyFont="1" applyFill="1" applyBorder="1" applyAlignment="1">
      <alignment vertical="center"/>
    </xf>
    <xf numFmtId="49" fontId="3" fillId="0" borderId="1" xfId="0" applyNumberFormat="1" applyFont="1" applyBorder="1" applyAlignment="1">
      <alignment vertical="center"/>
    </xf>
    <xf numFmtId="43" fontId="6" fillId="0" borderId="0" xfId="1" applyFont="1" applyFill="1" applyAlignment="1">
      <alignment vertical="center"/>
    </xf>
    <xf numFmtId="43" fontId="6" fillId="0" borderId="3" xfId="1" applyFont="1" applyFill="1" applyBorder="1" applyAlignment="1">
      <alignment horizontal="center" vertical="center"/>
    </xf>
    <xf numFmtId="164" fontId="3" fillId="0" borderId="2" xfId="1" applyNumberFormat="1" applyFont="1" applyFill="1" applyBorder="1" applyAlignment="1">
      <alignment vertical="center"/>
    </xf>
    <xf numFmtId="43" fontId="3" fillId="0" borderId="2" xfId="1" applyFont="1" applyFill="1" applyBorder="1" applyAlignment="1">
      <alignment vertical="center"/>
    </xf>
    <xf numFmtId="43" fontId="3" fillId="0" borderId="0" xfId="1" applyFont="1" applyFill="1" applyAlignment="1">
      <alignment vertical="center"/>
    </xf>
    <xf numFmtId="2" fontId="3" fillId="0" borderId="0" xfId="0" applyNumberFormat="1" applyFont="1" applyAlignment="1">
      <alignment vertical="center"/>
    </xf>
    <xf numFmtId="2" fontId="6" fillId="0" borderId="3" xfId="0" applyNumberFormat="1" applyFont="1" applyBorder="1" applyAlignment="1">
      <alignment horizontal="center" vertical="center"/>
    </xf>
    <xf numFmtId="43" fontId="3" fillId="0" borderId="1" xfId="1" quotePrefix="1" applyFont="1" applyFill="1" applyBorder="1" applyAlignment="1">
      <alignment horizontal="left" vertical="center"/>
    </xf>
    <xf numFmtId="49" fontId="3" fillId="0" borderId="0" xfId="1" applyNumberFormat="1" applyFont="1" applyFill="1" applyAlignment="1">
      <alignment vertical="center"/>
    </xf>
    <xf numFmtId="164" fontId="7" fillId="0" borderId="1" xfId="1" applyNumberFormat="1" applyFont="1" applyFill="1" applyBorder="1" applyAlignment="1">
      <alignment vertical="center"/>
    </xf>
    <xf numFmtId="0" fontId="6" fillId="4" borderId="21" xfId="0" applyFont="1" applyFill="1" applyBorder="1" applyAlignment="1">
      <alignment horizontal="center" vertical="center"/>
    </xf>
    <xf numFmtId="0" fontId="3" fillId="4" borderId="22" xfId="0" applyFont="1" applyFill="1" applyBorder="1" applyAlignment="1">
      <alignment horizontal="justify" vertical="center" wrapText="1"/>
    </xf>
    <xf numFmtId="0" fontId="3" fillId="4" borderId="23" xfId="0" applyFont="1" applyFill="1" applyBorder="1" applyAlignment="1">
      <alignment horizontal="justify" vertical="center" wrapText="1"/>
    </xf>
    <xf numFmtId="0" fontId="3" fillId="7" borderId="23" xfId="0" applyFont="1" applyFill="1" applyBorder="1" applyAlignment="1">
      <alignment horizontal="justify" vertical="center" wrapText="1"/>
    </xf>
    <xf numFmtId="0" fontId="3" fillId="7" borderId="24" xfId="0" applyFont="1" applyFill="1" applyBorder="1" applyAlignment="1">
      <alignment horizontal="justify" vertical="center" wrapText="1"/>
    </xf>
    <xf numFmtId="0" fontId="3" fillId="4" borderId="24" xfId="0" applyFont="1" applyFill="1" applyBorder="1" applyAlignment="1">
      <alignment horizontal="justify" vertical="center" wrapText="1"/>
    </xf>
    <xf numFmtId="0" fontId="3" fillId="4" borderId="25" xfId="0" applyFont="1" applyFill="1" applyBorder="1" applyAlignment="1">
      <alignment horizontal="justify" vertical="center" wrapText="1"/>
    </xf>
    <xf numFmtId="0" fontId="6" fillId="3" borderId="19" xfId="0" applyFont="1" applyFill="1" applyBorder="1" applyAlignment="1">
      <alignment vertical="center"/>
    </xf>
    <xf numFmtId="0" fontId="6" fillId="3" borderId="20" xfId="0" applyFont="1" applyFill="1" applyBorder="1" applyAlignment="1">
      <alignment vertical="center"/>
    </xf>
    <xf numFmtId="0" fontId="6" fillId="3" borderId="26" xfId="0" applyFont="1" applyFill="1" applyBorder="1" applyAlignment="1">
      <alignment vertical="center" wrapText="1"/>
    </xf>
    <xf numFmtId="0" fontId="6" fillId="5" borderId="27" xfId="0" applyFont="1" applyFill="1" applyBorder="1" applyAlignment="1">
      <alignment horizontal="center" vertical="center"/>
    </xf>
    <xf numFmtId="0" fontId="3" fillId="5" borderId="22" xfId="0" applyFont="1" applyFill="1" applyBorder="1" applyAlignment="1">
      <alignment horizontal="justify" vertical="center" wrapText="1"/>
    </xf>
    <xf numFmtId="0" fontId="3" fillId="5" borderId="23" xfId="0" applyFont="1" applyFill="1" applyBorder="1" applyAlignment="1">
      <alignment horizontal="justify" vertical="center" wrapText="1"/>
    </xf>
    <xf numFmtId="0" fontId="3" fillId="5" borderId="24" xfId="0" applyFont="1" applyFill="1" applyBorder="1" applyAlignment="1">
      <alignment horizontal="justify" vertical="center" wrapText="1"/>
    </xf>
    <xf numFmtId="0" fontId="3" fillId="5" borderId="25" xfId="0" applyFont="1" applyFill="1" applyBorder="1" applyAlignment="1">
      <alignment horizontal="justify" vertical="center" wrapText="1"/>
    </xf>
    <xf numFmtId="49" fontId="3" fillId="2" borderId="1" xfId="1" applyNumberFormat="1" applyFont="1" applyFill="1" applyBorder="1" applyAlignment="1">
      <alignment vertical="center" wrapText="1"/>
    </xf>
    <xf numFmtId="49" fontId="3" fillId="0" borderId="0" xfId="0" applyNumberFormat="1" applyFont="1" applyAlignment="1">
      <alignment vertical="center"/>
    </xf>
    <xf numFmtId="0" fontId="11" fillId="0" borderId="0" xfId="0" applyFont="1" applyAlignment="1">
      <alignment vertical="center"/>
    </xf>
    <xf numFmtId="164" fontId="6" fillId="3" borderId="5" xfId="1" applyNumberFormat="1" applyFont="1" applyFill="1" applyBorder="1" applyAlignment="1">
      <alignment vertical="center"/>
    </xf>
    <xf numFmtId="0" fontId="6" fillId="3" borderId="28" xfId="0" applyFont="1" applyFill="1" applyBorder="1" applyAlignment="1">
      <alignment vertical="center"/>
    </xf>
    <xf numFmtId="0" fontId="11" fillId="0" borderId="1" xfId="0" applyFont="1" applyBorder="1" applyAlignment="1">
      <alignment horizontal="left" vertical="center"/>
    </xf>
    <xf numFmtId="0" fontId="20" fillId="0" borderId="1" xfId="0" applyFont="1" applyBorder="1" applyAlignment="1">
      <alignment horizontal="center"/>
    </xf>
    <xf numFmtId="0" fontId="20" fillId="0" borderId="1" xfId="0" quotePrefix="1" applyFont="1" applyBorder="1"/>
    <xf numFmtId="49" fontId="3" fillId="6" borderId="1" xfId="1" applyNumberFormat="1" applyFont="1" applyFill="1" applyBorder="1" applyAlignment="1">
      <alignment vertical="center"/>
    </xf>
    <xf numFmtId="0" fontId="3" fillId="6" borderId="1" xfId="0" applyFont="1" applyFill="1" applyBorder="1" applyAlignment="1">
      <alignment vertical="center"/>
    </xf>
    <xf numFmtId="2" fontId="3" fillId="2" borderId="1" xfId="0" applyNumberFormat="1" applyFont="1" applyFill="1" applyBorder="1" applyAlignment="1">
      <alignment vertical="center"/>
    </xf>
    <xf numFmtId="0" fontId="20" fillId="0" borderId="1" xfId="0" quotePrefix="1"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left" vertical="center"/>
    </xf>
    <xf numFmtId="0" fontId="3" fillId="0" borderId="5" xfId="0" applyFont="1" applyBorder="1" applyAlignment="1">
      <alignment horizontal="left" vertical="center"/>
    </xf>
    <xf numFmtId="0" fontId="3" fillId="0" borderId="3" xfId="0" applyFont="1" applyBorder="1" applyAlignment="1">
      <alignment horizontal="left" vertical="center"/>
    </xf>
  </cellXfs>
  <cellStyles count="2">
    <cellStyle name="Comma" xfId="1" builtinId="3"/>
    <cellStyle name="Normal" xfId="0" builtinId="0"/>
  </cellStyles>
  <dxfs count="29">
    <dxf>
      <font>
        <b val="0"/>
        <i val="0"/>
        <strike val="0"/>
        <condense val="0"/>
        <extend val="0"/>
        <outline val="0"/>
        <shadow val="0"/>
        <u val="none"/>
        <vertAlign val="baseline"/>
        <sz val="11"/>
        <color theme="1"/>
        <name val="Times New Roman"/>
        <scheme val="none"/>
      </font>
      <numFmt numFmtId="2" formatCode="0.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Times New Roman"/>
        <scheme val="none"/>
      </font>
      <fill>
        <patternFill patternType="solid">
          <fgColor rgb="FF000000"/>
          <bgColor rgb="FFDDEBF7"/>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Times New Roman"/>
        <scheme val="none"/>
      </font>
      <numFmt numFmtId="2" formatCode="0.00"/>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FF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rgb="FFFF0000"/>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Times New Roman"/>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53340</xdr:colOff>
      <xdr:row>68</xdr:row>
      <xdr:rowOff>38101</xdr:rowOff>
    </xdr:from>
    <xdr:to>
      <xdr:col>18</xdr:col>
      <xdr:colOff>1215910</xdr:colOff>
      <xdr:row>125</xdr:row>
      <xdr:rowOff>44469</xdr:rowOff>
    </xdr:to>
    <xdr:pic>
      <xdr:nvPicPr>
        <xdr:cNvPr id="2" name="Picture 1">
          <a:extLst>
            <a:ext uri="{FF2B5EF4-FFF2-40B4-BE49-F238E27FC236}">
              <a16:creationId xmlns:a16="http://schemas.microsoft.com/office/drawing/2014/main" id="{EAE8B1DB-C4C6-40FE-BAB1-554AB427AAC0}"/>
            </a:ext>
          </a:extLst>
        </xdr:cNvPr>
        <xdr:cNvPicPr>
          <a:picLocks noChangeAspect="1"/>
        </xdr:cNvPicPr>
      </xdr:nvPicPr>
      <xdr:blipFill>
        <a:blip xmlns:r="http://schemas.openxmlformats.org/officeDocument/2006/relationships" r:embed="rId1"/>
        <a:stretch>
          <a:fillRect/>
        </a:stretch>
      </xdr:blipFill>
      <xdr:spPr>
        <a:xfrm>
          <a:off x="11125200" y="13853161"/>
          <a:ext cx="3463810" cy="1096029"/>
        </a:xfrm>
        <a:prstGeom prst="rect">
          <a:avLst/>
        </a:prstGeom>
      </xdr:spPr>
    </xdr:pic>
    <xdr:clientData/>
  </xdr:twoCellAnchor>
  <xdr:twoCellAnchor editAs="oneCell">
    <xdr:from>
      <xdr:col>15</xdr:col>
      <xdr:colOff>15240</xdr:colOff>
      <xdr:row>125</xdr:row>
      <xdr:rowOff>60960</xdr:rowOff>
    </xdr:from>
    <xdr:to>
      <xdr:col>20</xdr:col>
      <xdr:colOff>174003</xdr:colOff>
      <xdr:row>183</xdr:row>
      <xdr:rowOff>172769</xdr:rowOff>
    </xdr:to>
    <xdr:pic>
      <xdr:nvPicPr>
        <xdr:cNvPr id="3" name="Picture 2">
          <a:extLst>
            <a:ext uri="{FF2B5EF4-FFF2-40B4-BE49-F238E27FC236}">
              <a16:creationId xmlns:a16="http://schemas.microsoft.com/office/drawing/2014/main" id="{F76019A3-A944-42E9-B4F5-2EC750B056A5}"/>
            </a:ext>
          </a:extLst>
        </xdr:cNvPr>
        <xdr:cNvPicPr>
          <a:picLocks noChangeAspect="1"/>
        </xdr:cNvPicPr>
      </xdr:nvPicPr>
      <xdr:blipFill>
        <a:blip xmlns:r="http://schemas.openxmlformats.org/officeDocument/2006/relationships" r:embed="rId2"/>
        <a:stretch>
          <a:fillRect/>
        </a:stretch>
      </xdr:blipFill>
      <xdr:spPr>
        <a:xfrm>
          <a:off x="13525500" y="2476500"/>
          <a:ext cx="4113543" cy="1163369"/>
        </a:xfrm>
        <a:prstGeom prst="rect">
          <a:avLst/>
        </a:prstGeom>
      </xdr:spPr>
    </xdr:pic>
    <xdr:clientData/>
  </xdr:twoCellAnchor>
  <xdr:twoCellAnchor editAs="absolute">
    <xdr:from>
      <xdr:col>23</xdr:col>
      <xdr:colOff>480060</xdr:colOff>
      <xdr:row>12</xdr:row>
      <xdr:rowOff>83820</xdr:rowOff>
    </xdr:from>
    <xdr:to>
      <xdr:col>26</xdr:col>
      <xdr:colOff>480060</xdr:colOff>
      <xdr:row>191</xdr:row>
      <xdr:rowOff>138430</xdr:rowOff>
    </xdr:to>
    <mc:AlternateContent xmlns:mc="http://schemas.openxmlformats.org/markup-compatibility/2006" xmlns:sle15="http://schemas.microsoft.com/office/drawing/2012/slicer">
      <mc:Choice Requires="sle15">
        <xdr:graphicFrame macro="">
          <xdr:nvGraphicFramePr>
            <xdr:cNvPr id="4" name="Vị trí việc làm">
              <a:extLst>
                <a:ext uri="{FF2B5EF4-FFF2-40B4-BE49-F238E27FC236}">
                  <a16:creationId xmlns:a16="http://schemas.microsoft.com/office/drawing/2014/main" id="{D7AB942C-3D2C-4CC0-9419-869AB8656A46}"/>
                </a:ext>
              </a:extLst>
            </xdr:cNvPr>
            <xdr:cNvGraphicFramePr/>
          </xdr:nvGraphicFramePr>
          <xdr:xfrm>
            <a:off x="0" y="0"/>
            <a:ext cx="0" cy="0"/>
          </xdr:xfrm>
          <a:graphic>
            <a:graphicData uri="http://schemas.microsoft.com/office/drawing/2010/slicer">
              <sle:slicer xmlns:sle="http://schemas.microsoft.com/office/drawing/2010/slicer" name="Vị trí việc làm"/>
            </a:graphicData>
          </a:graphic>
        </xdr:graphicFrame>
      </mc:Choice>
      <mc:Fallback xmlns="">
        <xdr:sp macro="" textlink="">
          <xdr:nvSpPr>
            <xdr:cNvPr id="0" name=""/>
            <xdr:cNvSpPr>
              <a:spLocks noTextEdit="1"/>
            </xdr:cNvSpPr>
          </xdr:nvSpPr>
          <xdr:spPr>
            <a:xfrm>
              <a:off x="19964400" y="1272540"/>
              <a:ext cx="1828800" cy="33832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Vị_trí" sourceName="Vị trí ">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Vị trí việc làm" cache="Slicer_Vị_trí" caption="Vị trí " startItem="3" rowHeight="234950"/>
</slicers>
</file>

<file path=xl/tables/table1.xml><?xml version="1.0" encoding="utf-8"?>
<table xmlns="http://schemas.openxmlformats.org/spreadsheetml/2006/main" id="1" name="Table1" displayName="Table1" ref="A2:N183" totalsRowShown="0" headerRowDxfId="28" dataDxfId="26" headerRowBorderDxfId="27" tableBorderDxfId="25">
  <autoFilter ref="A2:N183">
    <filterColumn colId="3">
      <filters>
        <filter val="Lái máy đào"/>
        <filter val="Lái máy đào -x"/>
      </filters>
    </filterColumn>
  </autoFilter>
  <tableColumns count="14">
    <tableColumn id="1" name="TT" dataDxfId="24"/>
    <tableColumn id="2" name="Tham chieu" dataDxfId="23"/>
    <tableColumn id="3" name="Họ tên" dataDxfId="22"/>
    <tableColumn id="4" name="Vị trí " dataDxfId="21"/>
    <tableColumn id="5" name="Chấp thuận" dataDxfId="20"/>
    <tableColumn id="6" name="Xem xét" dataDxfId="19"/>
    <tableColumn id="7" name="Thời gian đi làm" dataDxfId="18"/>
    <tableColumn id="8" name="Lương (thử việc 80%)" dataDxfId="17"/>
    <tableColumn id="9" name="Trao đổi với sếp" dataDxfId="16"/>
    <tableColumn id="10" name="Ghichú(đội thiết bị,trạm cân,băng tải,cơ điện, sửa chữa,hàn: là28 công/tháng,lái 02 thiết bị;bảo vệ full tháng; vănph, điều độ, quanrly nc 26công; Giờ tăng ca 80K/h,lđ50K; 8h/ca; FC, máy ủi, Liebherr-14tr; Các loại máy 13tr;bánh xích 20t;hàn 11t- tốt12t" dataDxfId="15"/>
    <tableColumn id="11" name="Năm sinh" dataDxfId="14"/>
    <tableColumn id="12" name="Tình trạng kết hôn" dataDxfId="13"/>
    <tableColumn id="13" name="Giới tính" dataDxfId="12"/>
    <tableColumn id="14" name="Điện thoại" dataDxfId="11"/>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2:G79" totalsRowShown="0" headerRowDxfId="10" dataDxfId="8" headerRowBorderDxfId="9" tableBorderDxfId="7">
  <autoFilter ref="A2:G79"/>
  <tableColumns count="7">
    <tableColumn id="1" name="Tham chiếu" dataDxfId="6"/>
    <tableColumn id="15" name="STT" dataDxfId="5"/>
    <tableColumn id="3" name="Họ tên" dataDxfId="4"/>
    <tableColumn id="4" name="Vị trí " dataDxfId="3"/>
    <tableColumn id="7" name="Thời gian đi làm" dataDxfId="2"/>
    <tableColumn id="11" name="Năm sinh" dataDxfId="1"/>
    <tableColumn id="14" name="Điện thoạ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83"/>
  <sheetViews>
    <sheetView tabSelected="1" zoomScaleNormal="100" workbookViewId="0">
      <pane xSplit="3" ySplit="2" topLeftCell="I3" activePane="bottomRight" state="frozen"/>
      <selection pane="topRight" activeCell="C1" sqref="C1"/>
      <selection pane="bottomLeft" activeCell="A3" sqref="A3"/>
      <selection pane="bottomRight" activeCell="N87" sqref="N87"/>
    </sheetView>
  </sheetViews>
  <sheetFormatPr defaultColWidth="8.88671875" defaultRowHeight="13.8" x14ac:dyDescent="0.3"/>
  <cols>
    <col min="1" max="1" width="5.33203125" style="16" customWidth="1"/>
    <col min="2" max="2" width="4.5546875" style="69" hidden="1" customWidth="1"/>
    <col min="3" max="3" width="22.77734375" style="16" bestFit="1" customWidth="1"/>
    <col min="4" max="4" width="20.5546875" style="16" customWidth="1"/>
    <col min="5" max="5" width="7.21875" style="17" customWidth="1"/>
    <col min="6" max="6" width="9.88671875" style="16" customWidth="1"/>
    <col min="7" max="7" width="17.109375" style="16" customWidth="1"/>
    <col min="8" max="8" width="24.33203125" style="16" customWidth="1"/>
    <col min="9" max="9" width="33.109375" style="16" bestFit="1" customWidth="1"/>
    <col min="10" max="10" width="32.88671875" style="16" customWidth="1"/>
    <col min="11" max="11" width="6.88671875" style="18" customWidth="1"/>
    <col min="12" max="12" width="9.44140625" style="18" hidden="1" customWidth="1"/>
    <col min="13" max="13" width="10.6640625" style="18" hidden="1" customWidth="1"/>
    <col min="14" max="14" width="12.5546875" style="19" bestFit="1" customWidth="1"/>
    <col min="15" max="15" width="4.33203125" style="20" customWidth="1"/>
    <col min="16" max="16" width="19.5546875" style="16" customWidth="1"/>
    <col min="17" max="17" width="7.33203125" style="16" customWidth="1"/>
    <col min="18" max="18" width="6.6640625" style="16" customWidth="1"/>
    <col min="19" max="19" width="21.33203125" style="16" customWidth="1"/>
    <col min="20" max="20" width="2.77734375" style="66" customWidth="1"/>
    <col min="21" max="21" width="17.5546875" style="16" customWidth="1"/>
    <col min="22" max="22" width="3" style="66" customWidth="1"/>
    <col min="23" max="16384" width="8.88671875" style="16"/>
  </cols>
  <sheetData>
    <row r="1" spans="1:23" ht="14.4" thickBot="1" x14ac:dyDescent="0.35">
      <c r="A1" s="15" t="s">
        <v>0</v>
      </c>
      <c r="B1" s="67"/>
    </row>
    <row r="2" spans="1:23" ht="65.400000000000006" customHeight="1" thickBot="1" x14ac:dyDescent="0.35">
      <c r="A2" s="70" t="s">
        <v>1</v>
      </c>
      <c r="B2" s="71" t="s">
        <v>297</v>
      </c>
      <c r="C2" s="70" t="s">
        <v>2</v>
      </c>
      <c r="D2" s="70" t="s">
        <v>3</v>
      </c>
      <c r="E2" s="72" t="s">
        <v>9</v>
      </c>
      <c r="F2" s="70" t="s">
        <v>4</v>
      </c>
      <c r="G2" s="73" t="s">
        <v>31</v>
      </c>
      <c r="H2" s="73" t="s">
        <v>49</v>
      </c>
      <c r="I2" s="70" t="s">
        <v>223</v>
      </c>
      <c r="J2" s="73" t="s">
        <v>537</v>
      </c>
      <c r="K2" s="74" t="s">
        <v>6</v>
      </c>
      <c r="L2" s="74" t="s">
        <v>7</v>
      </c>
      <c r="M2" s="74" t="s">
        <v>8</v>
      </c>
      <c r="N2" s="75" t="s">
        <v>32</v>
      </c>
      <c r="P2" s="62" t="s">
        <v>112</v>
      </c>
      <c r="Q2" s="63" t="s">
        <v>113</v>
      </c>
      <c r="R2" s="63" t="s">
        <v>114</v>
      </c>
      <c r="S2" s="64" t="s">
        <v>5</v>
      </c>
      <c r="U2" s="131" t="s">
        <v>364</v>
      </c>
      <c r="V2" s="141"/>
      <c r="W2" s="140" t="s">
        <v>397</v>
      </c>
    </row>
    <row r="3" spans="1:23" hidden="1" x14ac:dyDescent="0.3">
      <c r="A3" s="21">
        <v>1</v>
      </c>
      <c r="B3" s="68" t="str">
        <f>D3</f>
        <v>Lái xe nâng</v>
      </c>
      <c r="C3" s="14" t="s">
        <v>29</v>
      </c>
      <c r="D3" s="22" t="s">
        <v>14</v>
      </c>
      <c r="E3" s="23" t="s">
        <v>122</v>
      </c>
      <c r="F3" s="22"/>
      <c r="G3" s="24">
        <v>46113</v>
      </c>
      <c r="H3" s="22"/>
      <c r="I3" s="25"/>
      <c r="J3" s="25" t="str">
        <f>P10</f>
        <v>Lái xe ben</v>
      </c>
      <c r="K3" s="26">
        <v>1989</v>
      </c>
      <c r="L3" s="26" t="s">
        <v>30</v>
      </c>
      <c r="M3" s="27"/>
      <c r="N3" s="28" t="s">
        <v>40</v>
      </c>
      <c r="P3" s="58" t="s">
        <v>10</v>
      </c>
      <c r="Q3" s="59">
        <v>6</v>
      </c>
      <c r="R3" s="60">
        <f t="shared" ref="R3:R26" si="0">COUNTIF($D$3:$D$183,P3)</f>
        <v>5</v>
      </c>
      <c r="S3" s="61"/>
      <c r="T3" s="90"/>
      <c r="U3" s="132" t="s">
        <v>365</v>
      </c>
      <c r="V3" s="142"/>
      <c r="W3" s="138">
        <v>7</v>
      </c>
    </row>
    <row r="4" spans="1:23" ht="27.6" hidden="1" x14ac:dyDescent="0.3">
      <c r="A4" s="7">
        <f>A3+1</f>
        <v>2</v>
      </c>
      <c r="B4" s="68" t="str">
        <f t="shared" ref="B4:B67" si="1">D4</f>
        <v>Tạp vụ</v>
      </c>
      <c r="C4" s="29" t="s">
        <v>50</v>
      </c>
      <c r="D4" s="22" t="s">
        <v>27</v>
      </c>
      <c r="E4" s="30" t="s">
        <v>122</v>
      </c>
      <c r="F4" s="22"/>
      <c r="G4" s="31">
        <v>46113</v>
      </c>
      <c r="H4" s="22" t="s">
        <v>34</v>
      </c>
      <c r="I4" s="22"/>
      <c r="J4" s="22"/>
      <c r="K4" s="26">
        <v>1988</v>
      </c>
      <c r="L4" s="26" t="s">
        <v>30</v>
      </c>
      <c r="M4" s="27"/>
      <c r="N4" s="32" t="s">
        <v>35</v>
      </c>
      <c r="P4" s="52" t="s">
        <v>11</v>
      </c>
      <c r="Q4" s="51">
        <v>4</v>
      </c>
      <c r="R4" s="60">
        <f t="shared" si="0"/>
        <v>0</v>
      </c>
      <c r="S4" s="54" t="s">
        <v>497</v>
      </c>
      <c r="T4" s="90"/>
      <c r="U4" s="133" t="s">
        <v>366</v>
      </c>
      <c r="V4" s="143"/>
      <c r="W4" s="138">
        <v>1</v>
      </c>
    </row>
    <row r="5" spans="1:23" hidden="1" x14ac:dyDescent="0.3">
      <c r="A5" s="21">
        <v>3</v>
      </c>
      <c r="B5" s="68" t="str">
        <f t="shared" si="1"/>
        <v>Lái xúc lật</v>
      </c>
      <c r="C5" s="14" t="s">
        <v>197</v>
      </c>
      <c r="D5" s="22" t="s">
        <v>13</v>
      </c>
      <c r="E5" s="23" t="s">
        <v>122</v>
      </c>
      <c r="F5" s="22"/>
      <c r="G5" s="33">
        <v>46113</v>
      </c>
      <c r="H5" s="22"/>
      <c r="I5" s="25"/>
      <c r="J5" s="25" t="s">
        <v>198</v>
      </c>
      <c r="K5" s="34">
        <v>1990</v>
      </c>
      <c r="L5" s="34" t="s">
        <v>30</v>
      </c>
      <c r="M5" s="35"/>
      <c r="N5" s="81" t="s">
        <v>36</v>
      </c>
      <c r="P5" s="52" t="s">
        <v>12</v>
      </c>
      <c r="Q5" s="51">
        <v>12</v>
      </c>
      <c r="R5" s="60">
        <f t="shared" si="0"/>
        <v>1</v>
      </c>
      <c r="S5" s="54"/>
      <c r="T5" s="90"/>
      <c r="U5" s="133" t="s">
        <v>367</v>
      </c>
      <c r="V5" s="143"/>
      <c r="W5" s="138">
        <v>3</v>
      </c>
    </row>
    <row r="6" spans="1:23" ht="41.4" hidden="1" x14ac:dyDescent="0.3">
      <c r="A6" s="36">
        <f>4</f>
        <v>4</v>
      </c>
      <c r="B6" s="68" t="str">
        <f t="shared" si="1"/>
        <v>Lái xe nâng</v>
      </c>
      <c r="C6" s="14" t="s">
        <v>37</v>
      </c>
      <c r="D6" s="22" t="s">
        <v>14</v>
      </c>
      <c r="E6" s="23" t="s">
        <v>122</v>
      </c>
      <c r="F6" s="22"/>
      <c r="G6" s="24">
        <v>46113</v>
      </c>
      <c r="H6" s="14" t="s">
        <v>39</v>
      </c>
      <c r="I6" s="14"/>
      <c r="J6" s="14" t="s">
        <v>199</v>
      </c>
      <c r="K6" s="34">
        <v>1987</v>
      </c>
      <c r="L6" s="34" t="s">
        <v>38</v>
      </c>
      <c r="M6" s="35"/>
      <c r="N6" s="83" t="s">
        <v>320</v>
      </c>
      <c r="P6" s="52" t="s">
        <v>13</v>
      </c>
      <c r="Q6" s="51">
        <v>8</v>
      </c>
      <c r="R6" s="60">
        <f t="shared" si="0"/>
        <v>4</v>
      </c>
      <c r="S6" s="54" t="s">
        <v>520</v>
      </c>
      <c r="T6" s="90"/>
      <c r="U6" s="133" t="s">
        <v>301</v>
      </c>
      <c r="V6" s="143"/>
      <c r="W6" s="138">
        <v>2</v>
      </c>
    </row>
    <row r="7" spans="1:23" x14ac:dyDescent="0.3">
      <c r="A7" s="7">
        <v>5</v>
      </c>
      <c r="B7" s="68" t="str">
        <f t="shared" si="1"/>
        <v>Lái máy đào</v>
      </c>
      <c r="C7" s="29" t="s">
        <v>41</v>
      </c>
      <c r="D7" s="22" t="s">
        <v>15</v>
      </c>
      <c r="E7" s="37" t="s">
        <v>122</v>
      </c>
      <c r="F7" s="22"/>
      <c r="G7" s="38">
        <v>46031</v>
      </c>
      <c r="H7" s="22" t="str">
        <f>H6</f>
        <v>12tr, BHXH theo luật</v>
      </c>
      <c r="I7" s="22"/>
      <c r="J7" s="22" t="s">
        <v>43</v>
      </c>
      <c r="K7" s="26">
        <v>1981</v>
      </c>
      <c r="L7" s="26"/>
      <c r="M7" s="27"/>
      <c r="N7" s="32" t="s">
        <v>42</v>
      </c>
      <c r="O7" s="20" t="s">
        <v>318</v>
      </c>
      <c r="P7" s="52" t="s">
        <v>14</v>
      </c>
      <c r="Q7" s="51">
        <v>2</v>
      </c>
      <c r="R7" s="60">
        <f t="shared" si="0"/>
        <v>2</v>
      </c>
      <c r="S7" s="54"/>
      <c r="T7" s="90"/>
      <c r="U7" s="133" t="s">
        <v>368</v>
      </c>
      <c r="V7" s="143"/>
      <c r="W7" s="138">
        <v>2</v>
      </c>
    </row>
    <row r="8" spans="1:23" ht="96.6" hidden="1" x14ac:dyDescent="0.3">
      <c r="A8" s="7">
        <v>6</v>
      </c>
      <c r="B8" s="68" t="str">
        <f t="shared" si="1"/>
        <v>Bảo vệ -x</v>
      </c>
      <c r="C8" s="29" t="s">
        <v>44</v>
      </c>
      <c r="D8" s="92" t="s">
        <v>115</v>
      </c>
      <c r="E8" s="37"/>
      <c r="F8" s="22" t="s">
        <v>38</v>
      </c>
      <c r="G8" s="29"/>
      <c r="H8" s="22"/>
      <c r="I8" s="22"/>
      <c r="J8" s="22"/>
      <c r="K8" s="26">
        <v>1958</v>
      </c>
      <c r="L8" s="26"/>
      <c r="M8" s="27"/>
      <c r="N8" s="39"/>
      <c r="P8" s="52" t="s">
        <v>15</v>
      </c>
      <c r="Q8" s="51">
        <v>16</v>
      </c>
      <c r="R8" s="60">
        <f t="shared" si="0"/>
        <v>4</v>
      </c>
      <c r="S8" s="54" t="s">
        <v>538</v>
      </c>
      <c r="T8" s="90"/>
      <c r="U8" s="133" t="s">
        <v>299</v>
      </c>
      <c r="V8" s="143"/>
      <c r="W8" s="138">
        <v>5</v>
      </c>
    </row>
    <row r="9" spans="1:23" s="100" customFormat="1" ht="27.6" hidden="1" x14ac:dyDescent="0.3">
      <c r="A9" s="93">
        <v>7</v>
      </c>
      <c r="B9" s="94" t="str">
        <f t="shared" si="1"/>
        <v>Kế toán</v>
      </c>
      <c r="C9" s="95" t="s">
        <v>218</v>
      </c>
      <c r="D9" s="96" t="s">
        <v>22</v>
      </c>
      <c r="E9" s="97" t="s">
        <v>122</v>
      </c>
      <c r="F9" s="96"/>
      <c r="G9" s="98">
        <v>46037</v>
      </c>
      <c r="H9" s="96" t="s">
        <v>46</v>
      </c>
      <c r="I9" s="96"/>
      <c r="J9" s="96" t="s">
        <v>215</v>
      </c>
      <c r="K9" s="95">
        <v>2001</v>
      </c>
      <c r="L9" s="95"/>
      <c r="M9" s="95"/>
      <c r="N9" s="99" t="s">
        <v>45</v>
      </c>
      <c r="P9" s="101" t="s">
        <v>16</v>
      </c>
      <c r="Q9" s="96">
        <v>6</v>
      </c>
      <c r="R9" s="102">
        <f t="shared" si="0"/>
        <v>4</v>
      </c>
      <c r="S9" s="103"/>
      <c r="T9" s="104"/>
      <c r="U9" s="134" t="s">
        <v>369</v>
      </c>
      <c r="V9" s="143"/>
      <c r="W9" s="138">
        <v>4</v>
      </c>
    </row>
    <row r="10" spans="1:23" hidden="1" x14ac:dyDescent="0.3">
      <c r="A10" s="7">
        <v>8</v>
      </c>
      <c r="B10" s="68" t="str">
        <f t="shared" si="1"/>
        <v>Trạm cân</v>
      </c>
      <c r="C10" s="29" t="s">
        <v>47</v>
      </c>
      <c r="D10" s="22" t="s">
        <v>24</v>
      </c>
      <c r="E10" s="37" t="s">
        <v>122</v>
      </c>
      <c r="F10" s="22"/>
      <c r="G10" s="31">
        <v>46113</v>
      </c>
      <c r="H10" s="22"/>
      <c r="I10" s="22"/>
      <c r="J10" s="22"/>
      <c r="K10" s="26">
        <v>1981</v>
      </c>
      <c r="L10" s="26" t="s">
        <v>30</v>
      </c>
      <c r="M10" s="26"/>
      <c r="N10" s="32" t="s">
        <v>48</v>
      </c>
      <c r="P10" s="52" t="s">
        <v>17</v>
      </c>
      <c r="Q10" s="51">
        <v>16</v>
      </c>
      <c r="R10" s="60">
        <f t="shared" si="0"/>
        <v>10</v>
      </c>
      <c r="S10" s="53"/>
      <c r="T10" s="90"/>
      <c r="U10" s="133" t="s">
        <v>247</v>
      </c>
      <c r="V10" s="143"/>
      <c r="W10" s="138">
        <v>10</v>
      </c>
    </row>
    <row r="11" spans="1:23" hidden="1" x14ac:dyDescent="0.3">
      <c r="A11" s="7">
        <f>A10+1</f>
        <v>9</v>
      </c>
      <c r="B11" s="68" t="str">
        <f t="shared" si="1"/>
        <v>Trạm cân</v>
      </c>
      <c r="C11" s="29" t="s">
        <v>52</v>
      </c>
      <c r="D11" s="22" t="s">
        <v>24</v>
      </c>
      <c r="E11" s="37" t="s">
        <v>122</v>
      </c>
      <c r="F11" s="22"/>
      <c r="G11" s="31">
        <v>46113</v>
      </c>
      <c r="H11" s="22" t="s">
        <v>53</v>
      </c>
      <c r="I11" s="22"/>
      <c r="J11" s="22" t="s">
        <v>54</v>
      </c>
      <c r="K11" s="26">
        <v>1993</v>
      </c>
      <c r="L11" s="26" t="s">
        <v>30</v>
      </c>
      <c r="M11" s="26"/>
      <c r="N11" s="40" t="s">
        <v>51</v>
      </c>
      <c r="P11" s="52" t="s">
        <v>18</v>
      </c>
      <c r="Q11" s="51">
        <v>16</v>
      </c>
      <c r="R11" s="60">
        <f t="shared" si="0"/>
        <v>4</v>
      </c>
      <c r="S11" s="53"/>
      <c r="T11" s="90"/>
      <c r="U11" s="133" t="s">
        <v>300</v>
      </c>
      <c r="V11" s="143"/>
      <c r="W11" s="138">
        <v>5</v>
      </c>
    </row>
    <row r="12" spans="1:23" hidden="1" x14ac:dyDescent="0.3">
      <c r="A12" s="7">
        <v>10</v>
      </c>
      <c r="B12" s="68" t="str">
        <f t="shared" si="1"/>
        <v>Cơ điện</v>
      </c>
      <c r="C12" s="29" t="s">
        <v>55</v>
      </c>
      <c r="D12" s="22" t="s">
        <v>19</v>
      </c>
      <c r="E12" s="37" t="s">
        <v>122</v>
      </c>
      <c r="F12" s="22"/>
      <c r="G12" s="31">
        <v>46113</v>
      </c>
      <c r="H12" s="22" t="s">
        <v>165</v>
      </c>
      <c r="I12" s="22"/>
      <c r="J12" s="22"/>
      <c r="K12" s="26">
        <v>1991</v>
      </c>
      <c r="L12" s="26"/>
      <c r="M12" s="26"/>
      <c r="N12" s="40" t="s">
        <v>56</v>
      </c>
      <c r="P12" s="52" t="s">
        <v>19</v>
      </c>
      <c r="Q12" s="51">
        <v>2</v>
      </c>
      <c r="R12" s="60">
        <f t="shared" si="0"/>
        <v>2</v>
      </c>
      <c r="S12" s="53"/>
      <c r="T12" s="90"/>
      <c r="U12" s="133" t="s">
        <v>261</v>
      </c>
      <c r="V12" s="143"/>
      <c r="W12" s="138">
        <v>2</v>
      </c>
    </row>
    <row r="13" spans="1:23" x14ac:dyDescent="0.3">
      <c r="A13" s="36">
        <f>A12+1</f>
        <v>11</v>
      </c>
      <c r="B13" s="68" t="str">
        <f t="shared" si="1"/>
        <v>Lái máy đào</v>
      </c>
      <c r="C13" s="14" t="s">
        <v>57</v>
      </c>
      <c r="D13" s="22" t="s">
        <v>15</v>
      </c>
      <c r="E13" s="23" t="s">
        <v>122</v>
      </c>
      <c r="F13" s="22"/>
      <c r="G13" s="24">
        <v>46113</v>
      </c>
      <c r="H13" s="22"/>
      <c r="I13" s="25" t="s">
        <v>553</v>
      </c>
      <c r="J13" s="25" t="s">
        <v>200</v>
      </c>
      <c r="K13" s="34">
        <v>1990</v>
      </c>
      <c r="L13" s="26"/>
      <c r="M13" s="26"/>
      <c r="N13" s="41" t="s">
        <v>58</v>
      </c>
      <c r="P13" s="52" t="s">
        <v>20</v>
      </c>
      <c r="Q13" s="51">
        <v>2</v>
      </c>
      <c r="R13" s="60">
        <f t="shared" si="0"/>
        <v>2</v>
      </c>
      <c r="S13" s="53"/>
      <c r="T13" s="90"/>
      <c r="U13" s="133" t="s">
        <v>370</v>
      </c>
      <c r="V13" s="143"/>
      <c r="W13" s="138">
        <v>2</v>
      </c>
    </row>
    <row r="14" spans="1:23" hidden="1" x14ac:dyDescent="0.3">
      <c r="A14" s="7">
        <v>12</v>
      </c>
      <c r="B14" s="68" t="str">
        <f t="shared" si="1"/>
        <v>Trạm cân</v>
      </c>
      <c r="C14" s="29" t="s">
        <v>59</v>
      </c>
      <c r="D14" s="22" t="s">
        <v>24</v>
      </c>
      <c r="E14" s="37" t="s">
        <v>122</v>
      </c>
      <c r="F14" s="22"/>
      <c r="G14" s="31">
        <v>46113</v>
      </c>
      <c r="H14" s="22"/>
      <c r="I14" s="22"/>
      <c r="J14" s="22"/>
      <c r="K14" s="26">
        <v>1983</v>
      </c>
      <c r="L14" s="26"/>
      <c r="M14" s="26"/>
      <c r="N14" s="42" t="s">
        <v>60</v>
      </c>
      <c r="P14" s="52" t="s">
        <v>21</v>
      </c>
      <c r="Q14" s="51">
        <v>6</v>
      </c>
      <c r="R14" s="60">
        <f t="shared" si="0"/>
        <v>3</v>
      </c>
      <c r="S14" s="53"/>
      <c r="T14" s="90"/>
      <c r="U14" s="133" t="s">
        <v>115</v>
      </c>
      <c r="V14" s="143"/>
      <c r="W14" s="138">
        <v>4</v>
      </c>
    </row>
    <row r="15" spans="1:23" s="100" customFormat="1" hidden="1" x14ac:dyDescent="0.3">
      <c r="A15" s="93">
        <v>13</v>
      </c>
      <c r="B15" s="94" t="str">
        <f t="shared" si="1"/>
        <v>Trạm cân</v>
      </c>
      <c r="C15" s="95" t="s">
        <v>61</v>
      </c>
      <c r="D15" s="96" t="s">
        <v>24</v>
      </c>
      <c r="E15" s="97" t="s">
        <v>122</v>
      </c>
      <c r="F15" s="96"/>
      <c r="G15" s="105">
        <v>46082</v>
      </c>
      <c r="H15" s="96" t="s">
        <v>65</v>
      </c>
      <c r="I15" s="96"/>
      <c r="J15" s="96" t="s">
        <v>215</v>
      </c>
      <c r="K15" s="95">
        <v>2003</v>
      </c>
      <c r="L15" s="95"/>
      <c r="M15" s="95"/>
      <c r="N15" s="106" t="s">
        <v>64</v>
      </c>
      <c r="P15" s="101" t="s">
        <v>22</v>
      </c>
      <c r="Q15" s="96">
        <v>2</v>
      </c>
      <c r="R15" s="102">
        <f t="shared" si="0"/>
        <v>2</v>
      </c>
      <c r="S15" s="103"/>
      <c r="T15" s="104"/>
      <c r="U15" s="134" t="s">
        <v>195</v>
      </c>
      <c r="V15" s="143"/>
      <c r="W15" s="138">
        <v>2</v>
      </c>
    </row>
    <row r="16" spans="1:23" s="100" customFormat="1" hidden="1" x14ac:dyDescent="0.3">
      <c r="A16" s="93">
        <v>14</v>
      </c>
      <c r="B16" s="94" t="str">
        <f t="shared" si="1"/>
        <v>Trạm cân</v>
      </c>
      <c r="C16" s="95" t="s">
        <v>62</v>
      </c>
      <c r="D16" s="96" t="s">
        <v>24</v>
      </c>
      <c r="E16" s="97" t="s">
        <v>122</v>
      </c>
      <c r="F16" s="96"/>
      <c r="G16" s="105">
        <v>46082</v>
      </c>
      <c r="H16" s="96" t="str">
        <f>H15</f>
        <v>8tr/ tháng; thử việc 6tr</v>
      </c>
      <c r="I16" s="96"/>
      <c r="J16" s="96" t="s">
        <v>215</v>
      </c>
      <c r="K16" s="95">
        <f>K15</f>
        <v>2003</v>
      </c>
      <c r="L16" s="95"/>
      <c r="M16" s="95"/>
      <c r="N16" s="106" t="s">
        <v>63</v>
      </c>
      <c r="P16" s="101" t="s">
        <v>23</v>
      </c>
      <c r="Q16" s="96">
        <v>1</v>
      </c>
      <c r="R16" s="102">
        <f t="shared" si="0"/>
        <v>2</v>
      </c>
      <c r="S16" s="103"/>
      <c r="T16" s="104"/>
      <c r="U16" s="134" t="s">
        <v>158</v>
      </c>
      <c r="V16" s="143"/>
      <c r="W16" s="138">
        <v>2</v>
      </c>
    </row>
    <row r="17" spans="1:28" hidden="1" x14ac:dyDescent="0.3">
      <c r="A17" s="7">
        <v>15</v>
      </c>
      <c r="B17" s="68" t="str">
        <f t="shared" si="1"/>
        <v>Bảo vệ -x</v>
      </c>
      <c r="C17" s="29" t="s">
        <v>66</v>
      </c>
      <c r="D17" s="91" t="s">
        <v>115</v>
      </c>
      <c r="E17" s="37"/>
      <c r="F17" s="22"/>
      <c r="G17" s="29"/>
      <c r="H17" s="22"/>
      <c r="I17" s="22"/>
      <c r="J17" s="22" t="s">
        <v>67</v>
      </c>
      <c r="K17" s="26">
        <v>1973</v>
      </c>
      <c r="L17" s="26"/>
      <c r="M17" s="26"/>
      <c r="N17" s="42" t="s">
        <v>265</v>
      </c>
      <c r="P17" s="52" t="s">
        <v>24</v>
      </c>
      <c r="Q17" s="51">
        <v>6</v>
      </c>
      <c r="R17" s="60">
        <f t="shared" si="0"/>
        <v>6</v>
      </c>
      <c r="S17" s="53"/>
      <c r="T17" s="90"/>
      <c r="U17" s="133" t="s">
        <v>140</v>
      </c>
      <c r="V17" s="143"/>
      <c r="W17" s="138">
        <v>6</v>
      </c>
    </row>
    <row r="18" spans="1:28" hidden="1" x14ac:dyDescent="0.3">
      <c r="A18" s="7">
        <v>16</v>
      </c>
      <c r="B18" s="68" t="str">
        <f t="shared" si="1"/>
        <v>Lái xe đầu kéo -x</v>
      </c>
      <c r="C18" s="29" t="s">
        <v>68</v>
      </c>
      <c r="D18" s="91" t="s">
        <v>300</v>
      </c>
      <c r="E18" s="37"/>
      <c r="F18" s="22"/>
      <c r="G18" s="31"/>
      <c r="H18" s="22"/>
      <c r="I18" s="22"/>
      <c r="J18" s="22" t="s">
        <v>70</v>
      </c>
      <c r="K18" s="26">
        <v>1986</v>
      </c>
      <c r="L18" s="26"/>
      <c r="M18" s="26"/>
      <c r="N18" s="42" t="s">
        <v>69</v>
      </c>
      <c r="P18" s="52" t="s">
        <v>25</v>
      </c>
      <c r="Q18" s="51">
        <v>1</v>
      </c>
      <c r="R18" s="60">
        <f t="shared" si="0"/>
        <v>1</v>
      </c>
      <c r="S18" s="53"/>
      <c r="T18" s="90"/>
      <c r="U18" s="133" t="s">
        <v>371</v>
      </c>
      <c r="V18" s="143"/>
      <c r="W18" s="138">
        <v>1</v>
      </c>
    </row>
    <row r="19" spans="1:28" ht="27.6" hidden="1" x14ac:dyDescent="0.3">
      <c r="A19" s="7">
        <v>17</v>
      </c>
      <c r="B19" s="68" t="str">
        <f t="shared" si="1"/>
        <v>Tạp vụ</v>
      </c>
      <c r="C19" s="29" t="s">
        <v>71</v>
      </c>
      <c r="D19" s="22" t="s">
        <v>27</v>
      </c>
      <c r="E19" s="37" t="s">
        <v>122</v>
      </c>
      <c r="F19" s="22"/>
      <c r="G19" s="31">
        <v>46113</v>
      </c>
      <c r="H19" s="22"/>
      <c r="I19" s="22"/>
      <c r="J19" s="22" t="s">
        <v>74</v>
      </c>
      <c r="K19" s="26">
        <v>1992</v>
      </c>
      <c r="L19" s="26"/>
      <c r="M19" s="26"/>
      <c r="N19" s="40" t="s">
        <v>73</v>
      </c>
      <c r="P19" s="52" t="s">
        <v>26</v>
      </c>
      <c r="Q19" s="51">
        <v>55</v>
      </c>
      <c r="R19" s="60">
        <f t="shared" si="0"/>
        <v>31</v>
      </c>
      <c r="S19" s="53"/>
      <c r="T19" s="90"/>
      <c r="U19" s="133" t="s">
        <v>337</v>
      </c>
      <c r="V19" s="143"/>
      <c r="W19" s="138">
        <v>19</v>
      </c>
    </row>
    <row r="20" spans="1:28" hidden="1" x14ac:dyDescent="0.3">
      <c r="A20" s="7">
        <v>18</v>
      </c>
      <c r="B20" s="68" t="str">
        <f t="shared" si="1"/>
        <v>Tạp vụ</v>
      </c>
      <c r="C20" s="29" t="s">
        <v>72</v>
      </c>
      <c r="D20" s="22" t="s">
        <v>27</v>
      </c>
      <c r="E20" s="37" t="s">
        <v>122</v>
      </c>
      <c r="F20" s="22"/>
      <c r="G20" s="31">
        <v>46113</v>
      </c>
      <c r="H20" s="22"/>
      <c r="I20" s="22"/>
      <c r="J20" s="22" t="str">
        <f>J19</f>
        <v>Quen A. Sơn -Đại diện</v>
      </c>
      <c r="K20" s="26">
        <v>1987</v>
      </c>
      <c r="L20" s="26"/>
      <c r="M20" s="26"/>
      <c r="N20" s="40" t="s">
        <v>332</v>
      </c>
      <c r="P20" s="52" t="s">
        <v>27</v>
      </c>
      <c r="Q20" s="51">
        <v>5</v>
      </c>
      <c r="R20" s="60">
        <f t="shared" si="0"/>
        <v>5</v>
      </c>
      <c r="S20" s="53"/>
      <c r="T20" s="90"/>
      <c r="U20" s="133" t="s">
        <v>118</v>
      </c>
      <c r="V20" s="143"/>
      <c r="W20" s="138">
        <v>5</v>
      </c>
    </row>
    <row r="21" spans="1:28" s="100" customFormat="1" ht="27.6" hidden="1" x14ac:dyDescent="0.3">
      <c r="A21" s="93">
        <f>A20+1</f>
        <v>19</v>
      </c>
      <c r="B21" s="94" t="str">
        <f t="shared" si="1"/>
        <v>Kế toán</v>
      </c>
      <c r="C21" s="95" t="s">
        <v>76</v>
      </c>
      <c r="D21" s="96" t="s">
        <v>22</v>
      </c>
      <c r="E21" s="97" t="s">
        <v>122</v>
      </c>
      <c r="F21" s="96"/>
      <c r="G21" s="105">
        <v>46082</v>
      </c>
      <c r="H21" s="107" t="s">
        <v>77</v>
      </c>
      <c r="I21" s="107"/>
      <c r="J21" s="96" t="s">
        <v>215</v>
      </c>
      <c r="K21" s="95">
        <v>1998</v>
      </c>
      <c r="L21" s="95"/>
      <c r="M21" s="95"/>
      <c r="N21" s="108" t="s">
        <v>75</v>
      </c>
      <c r="P21" s="109" t="s">
        <v>298</v>
      </c>
      <c r="Q21" s="110">
        <v>1</v>
      </c>
      <c r="R21" s="102">
        <f t="shared" si="0"/>
        <v>1</v>
      </c>
      <c r="S21" s="111"/>
      <c r="T21" s="104"/>
      <c r="U21" s="135" t="s">
        <v>372</v>
      </c>
      <c r="V21" s="144"/>
      <c r="W21" s="138">
        <v>1</v>
      </c>
    </row>
    <row r="22" spans="1:28" hidden="1" x14ac:dyDescent="0.3">
      <c r="A22" s="7">
        <v>20</v>
      </c>
      <c r="B22" s="68" t="str">
        <f t="shared" si="1"/>
        <v>Lao động phổ thông</v>
      </c>
      <c r="C22" s="29" t="s">
        <v>78</v>
      </c>
      <c r="D22" s="22" t="s">
        <v>26</v>
      </c>
      <c r="E22" s="37" t="s">
        <v>122</v>
      </c>
      <c r="F22" s="22"/>
      <c r="G22" s="31">
        <v>46113</v>
      </c>
      <c r="H22" s="22"/>
      <c r="I22" s="22"/>
      <c r="J22" s="22"/>
      <c r="K22" s="26">
        <v>1991</v>
      </c>
      <c r="L22" s="26"/>
      <c r="M22" s="26"/>
      <c r="N22" s="42" t="s">
        <v>79</v>
      </c>
      <c r="P22" s="80" t="s">
        <v>98</v>
      </c>
      <c r="Q22" s="77"/>
      <c r="R22" s="60">
        <f t="shared" si="0"/>
        <v>3</v>
      </c>
      <c r="S22" s="78"/>
      <c r="T22" s="90"/>
      <c r="U22" s="136" t="s">
        <v>373</v>
      </c>
      <c r="V22" s="144"/>
      <c r="W22" s="138">
        <v>3</v>
      </c>
    </row>
    <row r="23" spans="1:28" ht="14.4" hidden="1" thickBot="1" x14ac:dyDescent="0.35">
      <c r="A23" s="7">
        <v>21</v>
      </c>
      <c r="B23" s="68" t="str">
        <f t="shared" si="1"/>
        <v>Tạp vụ</v>
      </c>
      <c r="C23" s="29" t="s">
        <v>80</v>
      </c>
      <c r="D23" s="22" t="s">
        <v>27</v>
      </c>
      <c r="E23" s="37" t="s">
        <v>122</v>
      </c>
      <c r="F23" s="22"/>
      <c r="G23" s="31">
        <v>46113</v>
      </c>
      <c r="H23" s="22" t="s">
        <v>83</v>
      </c>
      <c r="I23" s="22"/>
      <c r="J23" s="22"/>
      <c r="K23" s="26">
        <v>1992</v>
      </c>
      <c r="L23" s="26"/>
      <c r="M23" s="26"/>
      <c r="N23" s="40" t="s">
        <v>81</v>
      </c>
      <c r="P23" s="76" t="s">
        <v>302</v>
      </c>
      <c r="Q23" s="77">
        <v>1</v>
      </c>
      <c r="R23" s="60">
        <f t="shared" si="0"/>
        <v>1</v>
      </c>
      <c r="S23" s="78"/>
      <c r="U23" s="137" t="s">
        <v>374</v>
      </c>
      <c r="V23" s="144"/>
      <c r="W23" s="138">
        <v>1</v>
      </c>
    </row>
    <row r="24" spans="1:28" hidden="1" x14ac:dyDescent="0.3">
      <c r="A24" s="7">
        <v>22</v>
      </c>
      <c r="B24" s="68" t="str">
        <f t="shared" si="1"/>
        <v>Tạp vụ</v>
      </c>
      <c r="C24" s="29" t="s">
        <v>84</v>
      </c>
      <c r="D24" s="22" t="s">
        <v>27</v>
      </c>
      <c r="E24" s="37" t="s">
        <v>122</v>
      </c>
      <c r="F24" s="22"/>
      <c r="G24" s="31">
        <v>46113</v>
      </c>
      <c r="H24" s="22" t="str">
        <f>H23</f>
        <v>6-8tr/ tháng</v>
      </c>
      <c r="I24" s="22"/>
      <c r="J24" s="22"/>
      <c r="K24" s="26">
        <v>1989</v>
      </c>
      <c r="L24" s="26"/>
      <c r="M24" s="26"/>
      <c r="N24" s="42" t="s">
        <v>82</v>
      </c>
      <c r="P24" s="76" t="s">
        <v>147</v>
      </c>
      <c r="Q24" s="77">
        <v>1</v>
      </c>
      <c r="R24" s="60">
        <f t="shared" si="0"/>
        <v>1</v>
      </c>
      <c r="S24" s="78"/>
      <c r="U24" s="136" t="s">
        <v>463</v>
      </c>
      <c r="V24" s="144"/>
      <c r="W24" s="138">
        <v>1</v>
      </c>
    </row>
    <row r="25" spans="1:28" hidden="1" x14ac:dyDescent="0.3">
      <c r="A25" s="7">
        <f>A24+1</f>
        <v>23</v>
      </c>
      <c r="B25" s="68" t="str">
        <f t="shared" si="1"/>
        <v>Kế toán -x</v>
      </c>
      <c r="C25" s="29" t="s">
        <v>85</v>
      </c>
      <c r="D25" s="92" t="s">
        <v>195</v>
      </c>
      <c r="E25" s="37"/>
      <c r="F25" s="22" t="s">
        <v>38</v>
      </c>
      <c r="G25" s="29"/>
      <c r="H25" s="22"/>
      <c r="I25" s="22"/>
      <c r="J25" s="22" t="s">
        <v>87</v>
      </c>
      <c r="K25" s="26">
        <v>2003</v>
      </c>
      <c r="L25" s="26"/>
      <c r="M25" s="26"/>
      <c r="N25" s="42" t="s">
        <v>86</v>
      </c>
      <c r="P25" s="76" t="s">
        <v>462</v>
      </c>
      <c r="Q25" s="77">
        <v>2</v>
      </c>
      <c r="R25" s="149">
        <f t="shared" si="0"/>
        <v>2</v>
      </c>
      <c r="S25" s="78"/>
      <c r="U25" s="136"/>
      <c r="V25" s="144"/>
      <c r="W25" s="150"/>
    </row>
    <row r="26" spans="1:28" ht="42" hidden="1" thickBot="1" x14ac:dyDescent="0.35">
      <c r="A26" s="7">
        <f t="shared" ref="A26:A28" si="2">A25+1</f>
        <v>24</v>
      </c>
      <c r="B26" s="68" t="str">
        <f t="shared" si="1"/>
        <v>Lao động phổ thông</v>
      </c>
      <c r="C26" s="29" t="s">
        <v>88</v>
      </c>
      <c r="D26" s="22" t="s">
        <v>26</v>
      </c>
      <c r="E26" s="37" t="s">
        <v>122</v>
      </c>
      <c r="F26" s="22"/>
      <c r="G26" s="31">
        <v>46113</v>
      </c>
      <c r="H26" s="43" t="s">
        <v>94</v>
      </c>
      <c r="I26" s="43"/>
      <c r="J26" s="43" t="s">
        <v>95</v>
      </c>
      <c r="K26" s="26"/>
      <c r="L26" s="26"/>
      <c r="M26" s="26"/>
      <c r="N26" s="42" t="s">
        <v>90</v>
      </c>
      <c r="P26" s="55" t="s">
        <v>28</v>
      </c>
      <c r="Q26" s="56">
        <v>2</v>
      </c>
      <c r="R26" s="79">
        <f t="shared" si="0"/>
        <v>0</v>
      </c>
      <c r="S26" s="57"/>
      <c r="U26" s="137"/>
      <c r="V26" s="145"/>
      <c r="W26" s="139">
        <v>0</v>
      </c>
    </row>
    <row r="27" spans="1:28" ht="41.4" hidden="1" x14ac:dyDescent="0.3">
      <c r="A27" s="7">
        <f t="shared" si="2"/>
        <v>25</v>
      </c>
      <c r="B27" s="68" t="str">
        <f t="shared" si="1"/>
        <v>Lao động phổ thông</v>
      </c>
      <c r="C27" s="29" t="s">
        <v>91</v>
      </c>
      <c r="D27" s="22" t="s">
        <v>26</v>
      </c>
      <c r="E27" s="37" t="s">
        <v>122</v>
      </c>
      <c r="F27" s="22"/>
      <c r="G27" s="31">
        <v>46113</v>
      </c>
      <c r="H27" s="43" t="str">
        <f t="shared" ref="H27:J28" si="3">H26</f>
        <v>350K/công; Vận hành băng tải dăm 400-450K/công; xếp cali</v>
      </c>
      <c r="I27" s="43"/>
      <c r="J27" s="43" t="str">
        <f t="shared" si="3"/>
        <v>Có thể vận hành băng tải; xếp cali</v>
      </c>
      <c r="K27" s="26"/>
      <c r="L27" s="26"/>
      <c r="M27" s="26"/>
      <c r="N27" s="42" t="s">
        <v>92</v>
      </c>
      <c r="P27" s="44" t="s">
        <v>123</v>
      </c>
      <c r="Q27" s="45">
        <f>SUM(Q3:Q26)</f>
        <v>173</v>
      </c>
      <c r="R27" s="45">
        <f>SUM(R3:R26)</f>
        <v>96</v>
      </c>
      <c r="W27" s="45">
        <f>SUM(W3:W26)</f>
        <v>88</v>
      </c>
    </row>
    <row r="28" spans="1:28" ht="41.4" hidden="1" x14ac:dyDescent="0.3">
      <c r="A28" s="7">
        <f t="shared" si="2"/>
        <v>26</v>
      </c>
      <c r="B28" s="68" t="str">
        <f t="shared" si="1"/>
        <v>Lao động phổ thông</v>
      </c>
      <c r="C28" s="29" t="s">
        <v>89</v>
      </c>
      <c r="D28" s="22" t="s">
        <v>26</v>
      </c>
      <c r="E28" s="37" t="s">
        <v>122</v>
      </c>
      <c r="F28" s="22"/>
      <c r="G28" s="31">
        <v>46113</v>
      </c>
      <c r="H28" s="43" t="str">
        <f t="shared" si="3"/>
        <v>350K/công; Vận hành băng tải dăm 400-450K/công; xếp cali</v>
      </c>
      <c r="I28" s="43"/>
      <c r="J28" s="43" t="str">
        <f t="shared" si="3"/>
        <v>Có thể vận hành băng tải; xếp cali</v>
      </c>
      <c r="K28" s="26"/>
      <c r="L28" s="26"/>
      <c r="M28" s="26"/>
      <c r="N28" s="42" t="s">
        <v>93</v>
      </c>
    </row>
    <row r="29" spans="1:28" s="100" customFormat="1" hidden="1" x14ac:dyDescent="0.3">
      <c r="A29" s="93">
        <f>A28+1</f>
        <v>27</v>
      </c>
      <c r="B29" s="94" t="str">
        <f t="shared" si="1"/>
        <v>Kinh doanh</v>
      </c>
      <c r="C29" s="95" t="s">
        <v>96</v>
      </c>
      <c r="D29" s="96" t="s">
        <v>23</v>
      </c>
      <c r="E29" s="97" t="s">
        <v>122</v>
      </c>
      <c r="F29" s="96"/>
      <c r="G29" s="105">
        <v>46082</v>
      </c>
      <c r="H29" s="96"/>
      <c r="I29" s="96"/>
      <c r="J29" s="107" t="s">
        <v>215</v>
      </c>
      <c r="K29" s="95">
        <v>2003</v>
      </c>
      <c r="L29" s="95"/>
      <c r="M29" s="95"/>
      <c r="N29" s="108" t="s">
        <v>97</v>
      </c>
      <c r="P29" s="16"/>
      <c r="Q29" s="16"/>
      <c r="R29" s="16"/>
      <c r="S29" s="16"/>
      <c r="T29" s="66"/>
      <c r="U29" s="16"/>
      <c r="V29" s="66"/>
      <c r="W29" s="16"/>
      <c r="X29" s="16"/>
      <c r="Y29" s="16"/>
      <c r="Z29" s="16"/>
      <c r="AA29" s="16"/>
      <c r="AB29" s="16"/>
    </row>
    <row r="30" spans="1:28" s="100" customFormat="1" hidden="1" x14ac:dyDescent="0.3">
      <c r="A30" s="93">
        <v>28</v>
      </c>
      <c r="B30" s="94">
        <f t="shared" si="1"/>
        <v>0</v>
      </c>
      <c r="C30" s="95"/>
      <c r="D30" s="96"/>
      <c r="E30" s="97"/>
      <c r="F30" s="96"/>
      <c r="G30" s="105"/>
      <c r="H30" s="96"/>
      <c r="I30" s="96"/>
      <c r="J30" s="96"/>
      <c r="K30" s="95"/>
      <c r="L30" s="95"/>
      <c r="M30" s="95"/>
      <c r="N30" s="108"/>
      <c r="V30" s="66"/>
    </row>
    <row r="31" spans="1:28" hidden="1" x14ac:dyDescent="0.3">
      <c r="A31" s="7">
        <f t="shared" ref="A31:A92" si="4">A30+1</f>
        <v>29</v>
      </c>
      <c r="B31" s="68" t="str">
        <f t="shared" si="1"/>
        <v>Lao động phổ thông</v>
      </c>
      <c r="C31" s="29" t="s">
        <v>99</v>
      </c>
      <c r="D31" s="22" t="s">
        <v>26</v>
      </c>
      <c r="E31" s="37" t="s">
        <v>122</v>
      </c>
      <c r="F31" s="22"/>
      <c r="G31" s="31">
        <v>46113</v>
      </c>
      <c r="H31" s="22"/>
      <c r="I31" s="22"/>
      <c r="J31" s="22"/>
      <c r="K31" s="26"/>
      <c r="L31" s="26"/>
      <c r="M31" s="26" t="s">
        <v>33</v>
      </c>
      <c r="N31" s="42" t="s">
        <v>102</v>
      </c>
      <c r="P31" s="100"/>
      <c r="Q31" s="100"/>
      <c r="R31" s="100"/>
      <c r="S31" s="100"/>
      <c r="T31" s="100"/>
      <c r="U31" s="100"/>
      <c r="W31" s="100"/>
      <c r="X31" s="100"/>
      <c r="Y31" s="100"/>
      <c r="Z31" s="100"/>
      <c r="AA31" s="100"/>
      <c r="AB31" s="100"/>
    </row>
    <row r="32" spans="1:28" hidden="1" x14ac:dyDescent="0.3">
      <c r="A32" s="7">
        <f t="shared" si="4"/>
        <v>30</v>
      </c>
      <c r="B32" s="68" t="str">
        <f t="shared" si="1"/>
        <v>Lao động phổ thông</v>
      </c>
      <c r="C32" s="29" t="s">
        <v>100</v>
      </c>
      <c r="D32" s="22" t="s">
        <v>26</v>
      </c>
      <c r="E32" s="37" t="s">
        <v>122</v>
      </c>
      <c r="F32" s="22"/>
      <c r="G32" s="31">
        <v>46113</v>
      </c>
      <c r="H32" s="22"/>
      <c r="I32" s="22"/>
      <c r="J32" s="22"/>
      <c r="K32" s="26"/>
      <c r="L32" s="26"/>
      <c r="M32" s="26" t="s">
        <v>33</v>
      </c>
      <c r="N32" s="42" t="s">
        <v>101</v>
      </c>
      <c r="O32" s="20" t="s">
        <v>318</v>
      </c>
    </row>
    <row r="33" spans="1:28" hidden="1" x14ac:dyDescent="0.3">
      <c r="A33" s="7">
        <f t="shared" si="4"/>
        <v>31</v>
      </c>
      <c r="B33" s="68" t="str">
        <f t="shared" si="1"/>
        <v>Cơ điện</v>
      </c>
      <c r="C33" s="29" t="s">
        <v>103</v>
      </c>
      <c r="D33" s="22" t="s">
        <v>19</v>
      </c>
      <c r="E33" s="37" t="s">
        <v>122</v>
      </c>
      <c r="F33" s="22"/>
      <c r="G33" s="31">
        <v>46113</v>
      </c>
      <c r="H33" s="22"/>
      <c r="I33" s="22"/>
      <c r="J33" s="22"/>
      <c r="K33" s="26">
        <v>1984</v>
      </c>
      <c r="L33" s="26"/>
      <c r="M33" s="26"/>
      <c r="N33" s="42" t="s">
        <v>104</v>
      </c>
    </row>
    <row r="34" spans="1:28" hidden="1" x14ac:dyDescent="0.3">
      <c r="A34" s="7">
        <f t="shared" si="4"/>
        <v>32</v>
      </c>
      <c r="B34" s="68" t="str">
        <f t="shared" si="1"/>
        <v>Lái xe đầu kéo</v>
      </c>
      <c r="C34" s="29" t="s">
        <v>105</v>
      </c>
      <c r="D34" s="22" t="s">
        <v>18</v>
      </c>
      <c r="E34" s="37" t="s">
        <v>122</v>
      </c>
      <c r="F34" s="22"/>
      <c r="G34" s="31">
        <v>46113</v>
      </c>
      <c r="H34" s="22"/>
      <c r="I34" s="22"/>
      <c r="J34" s="22"/>
      <c r="K34" s="26">
        <v>1989</v>
      </c>
      <c r="L34" s="26"/>
      <c r="M34" s="26"/>
      <c r="N34" s="42" t="s">
        <v>106</v>
      </c>
    </row>
    <row r="35" spans="1:28" hidden="1" x14ac:dyDescent="0.3">
      <c r="A35" s="7">
        <f t="shared" si="4"/>
        <v>33</v>
      </c>
      <c r="B35" s="68" t="str">
        <f t="shared" si="1"/>
        <v>Lái xe ben</v>
      </c>
      <c r="C35" s="29" t="s">
        <v>107</v>
      </c>
      <c r="D35" s="22" t="s">
        <v>17</v>
      </c>
      <c r="E35" s="37" t="s">
        <v>122</v>
      </c>
      <c r="F35" s="22"/>
      <c r="G35" s="31">
        <v>46113</v>
      </c>
      <c r="H35" s="22"/>
      <c r="I35" s="22"/>
      <c r="J35" s="22"/>
      <c r="K35" s="26">
        <v>1984</v>
      </c>
      <c r="L35" s="26"/>
      <c r="M35" s="26"/>
      <c r="N35" s="42" t="s">
        <v>108</v>
      </c>
    </row>
    <row r="36" spans="1:28" hidden="1" x14ac:dyDescent="0.3">
      <c r="A36" s="7">
        <f t="shared" si="4"/>
        <v>34</v>
      </c>
      <c r="B36" s="68" t="str">
        <f t="shared" si="1"/>
        <v>Làm hành chính</v>
      </c>
      <c r="C36" s="29" t="s">
        <v>109</v>
      </c>
      <c r="D36" s="22" t="s">
        <v>20</v>
      </c>
      <c r="E36" s="37" t="s">
        <v>122</v>
      </c>
      <c r="F36" s="22"/>
      <c r="G36" s="31">
        <v>46113</v>
      </c>
      <c r="H36" s="22"/>
      <c r="I36" s="22"/>
      <c r="J36" s="22" t="s">
        <v>111</v>
      </c>
      <c r="K36" s="26">
        <v>1977</v>
      </c>
      <c r="L36" s="26"/>
      <c r="M36" s="26"/>
      <c r="N36" s="42" t="s">
        <v>110</v>
      </c>
    </row>
    <row r="37" spans="1:28" hidden="1" x14ac:dyDescent="0.3">
      <c r="A37" s="7">
        <f>A36+1</f>
        <v>35</v>
      </c>
      <c r="B37" s="68" t="str">
        <f t="shared" si="1"/>
        <v>Làm hành chính</v>
      </c>
      <c r="C37" s="29" t="s">
        <v>116</v>
      </c>
      <c r="D37" s="22" t="s">
        <v>20</v>
      </c>
      <c r="E37" s="37" t="s">
        <v>122</v>
      </c>
      <c r="F37" s="22"/>
      <c r="G37" s="31">
        <v>46037</v>
      </c>
      <c r="H37" s="22"/>
      <c r="I37" s="22"/>
      <c r="J37" s="22"/>
      <c r="K37" s="26">
        <v>2003</v>
      </c>
      <c r="L37" s="26"/>
      <c r="M37" s="26"/>
      <c r="N37" s="42" t="s">
        <v>196</v>
      </c>
    </row>
    <row r="38" spans="1:28" hidden="1" x14ac:dyDescent="0.3">
      <c r="A38" s="7">
        <f t="shared" si="4"/>
        <v>36</v>
      </c>
      <c r="B38" s="68" t="str">
        <f t="shared" si="1"/>
        <v>Tạp vụ -x</v>
      </c>
      <c r="C38" s="29" t="s">
        <v>117</v>
      </c>
      <c r="D38" s="92" t="s">
        <v>118</v>
      </c>
      <c r="E38" s="37"/>
      <c r="F38" s="22" t="s">
        <v>38</v>
      </c>
      <c r="G38" s="29"/>
      <c r="H38" s="22"/>
      <c r="I38" s="22"/>
      <c r="J38" s="22"/>
      <c r="K38" s="26">
        <v>1993</v>
      </c>
      <c r="L38" s="26"/>
      <c r="M38" s="26"/>
      <c r="N38" s="42" t="s">
        <v>119</v>
      </c>
    </row>
    <row r="39" spans="1:28" hidden="1" x14ac:dyDescent="0.3">
      <c r="A39" s="7">
        <f t="shared" si="4"/>
        <v>37</v>
      </c>
      <c r="B39" s="68" t="str">
        <f t="shared" si="1"/>
        <v>Lái xe ben</v>
      </c>
      <c r="C39" s="29" t="s">
        <v>120</v>
      </c>
      <c r="D39" s="22" t="s">
        <v>17</v>
      </c>
      <c r="E39" s="37" t="s">
        <v>122</v>
      </c>
      <c r="F39" s="22"/>
      <c r="G39" s="29"/>
      <c r="H39" s="22" t="s">
        <v>154</v>
      </c>
      <c r="I39" s="22"/>
      <c r="J39" s="46" t="s">
        <v>121</v>
      </c>
      <c r="K39" s="26"/>
      <c r="L39" s="26"/>
      <c r="M39" s="26"/>
      <c r="N39" s="42" t="s">
        <v>166</v>
      </c>
    </row>
    <row r="40" spans="1:28" hidden="1" x14ac:dyDescent="0.3">
      <c r="A40" s="7">
        <f t="shared" si="4"/>
        <v>38</v>
      </c>
      <c r="B40" s="68" t="str">
        <f t="shared" si="1"/>
        <v>Trạm cân</v>
      </c>
      <c r="C40" s="29" t="s">
        <v>124</v>
      </c>
      <c r="D40" s="22" t="s">
        <v>24</v>
      </c>
      <c r="E40" s="37" t="s">
        <v>122</v>
      </c>
      <c r="F40" s="22"/>
      <c r="G40" s="31">
        <v>46113</v>
      </c>
      <c r="H40" s="22"/>
      <c r="I40" s="22"/>
      <c r="J40" s="22" t="s">
        <v>126</v>
      </c>
      <c r="K40" s="26">
        <v>2003</v>
      </c>
      <c r="L40" s="26"/>
      <c r="M40" s="26"/>
      <c r="N40" s="42" t="s">
        <v>125</v>
      </c>
    </row>
    <row r="41" spans="1:28" hidden="1" x14ac:dyDescent="0.3">
      <c r="A41" s="7">
        <f t="shared" si="4"/>
        <v>39</v>
      </c>
      <c r="B41" s="68" t="str">
        <f t="shared" si="1"/>
        <v>Trạm cân -x</v>
      </c>
      <c r="C41" s="29" t="s">
        <v>127</v>
      </c>
      <c r="D41" s="92" t="s">
        <v>140</v>
      </c>
      <c r="E41" s="37"/>
      <c r="F41" s="22" t="s">
        <v>38</v>
      </c>
      <c r="G41" s="29"/>
      <c r="H41" s="22"/>
      <c r="I41" s="22"/>
      <c r="J41" s="22" t="s">
        <v>216</v>
      </c>
      <c r="K41" s="26">
        <v>2003</v>
      </c>
      <c r="L41" s="26"/>
      <c r="M41" s="26"/>
      <c r="N41" s="42"/>
    </row>
    <row r="42" spans="1:28" ht="27.6" hidden="1" x14ac:dyDescent="0.3">
      <c r="A42" s="7">
        <f t="shared" si="4"/>
        <v>40</v>
      </c>
      <c r="B42" s="68" t="str">
        <f t="shared" si="1"/>
        <v>Thợ vận hành băng tải</v>
      </c>
      <c r="C42" s="29" t="s">
        <v>256</v>
      </c>
      <c r="D42" s="22" t="s">
        <v>16</v>
      </c>
      <c r="E42" s="37" t="s">
        <v>122</v>
      </c>
      <c r="F42" s="22"/>
      <c r="G42" s="31">
        <v>46113</v>
      </c>
      <c r="H42" s="22"/>
      <c r="I42" s="22"/>
      <c r="J42" s="43" t="s">
        <v>129</v>
      </c>
      <c r="K42" s="26">
        <v>1984</v>
      </c>
      <c r="L42" s="26"/>
      <c r="M42" s="26"/>
      <c r="N42" s="42" t="s">
        <v>128</v>
      </c>
    </row>
    <row r="43" spans="1:28" s="100" customFormat="1" hidden="1" x14ac:dyDescent="0.3">
      <c r="A43" s="93">
        <f t="shared" si="4"/>
        <v>41</v>
      </c>
      <c r="B43" s="94" t="str">
        <f t="shared" si="1"/>
        <v>Lái cẩu Liebherr</v>
      </c>
      <c r="C43" s="95" t="s">
        <v>130</v>
      </c>
      <c r="D43" s="96" t="s">
        <v>10</v>
      </c>
      <c r="E43" s="97" t="s">
        <v>122</v>
      </c>
      <c r="F43" s="96"/>
      <c r="G43" s="105">
        <v>46040</v>
      </c>
      <c r="H43" s="96"/>
      <c r="I43" s="96"/>
      <c r="J43" s="96" t="s">
        <v>215</v>
      </c>
      <c r="K43" s="95">
        <v>1986</v>
      </c>
      <c r="L43" s="95"/>
      <c r="M43" s="95"/>
      <c r="N43" s="108" t="s">
        <v>131</v>
      </c>
      <c r="P43" s="16"/>
      <c r="Q43" s="16"/>
      <c r="R43" s="16"/>
      <c r="S43" s="16"/>
      <c r="T43" s="66"/>
      <c r="U43" s="16"/>
      <c r="V43" s="66"/>
      <c r="W43" s="16"/>
      <c r="X43" s="16"/>
      <c r="Y43" s="16"/>
      <c r="Z43" s="16"/>
      <c r="AA43" s="16"/>
      <c r="AB43" s="16"/>
    </row>
    <row r="44" spans="1:28" hidden="1" x14ac:dyDescent="0.3">
      <c r="A44" s="7">
        <f t="shared" si="4"/>
        <v>42</v>
      </c>
      <c r="B44" s="68" t="str">
        <f t="shared" si="1"/>
        <v>Thợ vận hành băng tải</v>
      </c>
      <c r="C44" s="29" t="s">
        <v>132</v>
      </c>
      <c r="D44" s="22" t="s">
        <v>16</v>
      </c>
      <c r="E44" s="37" t="s">
        <v>122</v>
      </c>
      <c r="F44" s="22"/>
      <c r="G44" s="31">
        <v>46113</v>
      </c>
      <c r="H44" s="22"/>
      <c r="I44" s="22"/>
      <c r="J44" s="22" t="s">
        <v>133</v>
      </c>
      <c r="K44" s="26">
        <v>1989</v>
      </c>
      <c r="L44" s="26"/>
      <c r="M44" s="26"/>
      <c r="N44" s="42" t="s">
        <v>134</v>
      </c>
      <c r="P44" s="100"/>
      <c r="Q44" s="100"/>
      <c r="R44" s="100"/>
      <c r="S44" s="100"/>
      <c r="T44" s="100"/>
      <c r="U44" s="100"/>
      <c r="W44" s="100"/>
      <c r="X44" s="100"/>
      <c r="Y44" s="100"/>
      <c r="Z44" s="100"/>
      <c r="AA44" s="100"/>
      <c r="AB44" s="100"/>
    </row>
    <row r="45" spans="1:28" hidden="1" x14ac:dyDescent="0.3">
      <c r="A45" s="7">
        <f t="shared" si="4"/>
        <v>43</v>
      </c>
      <c r="B45" s="68" t="str">
        <f t="shared" si="1"/>
        <v>Phụ trách kho bãi</v>
      </c>
      <c r="C45" s="29" t="s">
        <v>135</v>
      </c>
      <c r="D45" s="22" t="s">
        <v>25</v>
      </c>
      <c r="E45" s="37" t="s">
        <v>122</v>
      </c>
      <c r="F45" s="22"/>
      <c r="G45" s="31">
        <v>46113</v>
      </c>
      <c r="H45" s="22"/>
      <c r="I45" s="22"/>
      <c r="J45" s="22" t="s">
        <v>217</v>
      </c>
      <c r="K45" s="26">
        <v>2003</v>
      </c>
      <c r="L45" s="26"/>
      <c r="M45" s="26"/>
      <c r="N45" s="42" t="s">
        <v>136</v>
      </c>
    </row>
    <row r="46" spans="1:28" hidden="1" x14ac:dyDescent="0.3">
      <c r="A46" s="7">
        <f t="shared" si="4"/>
        <v>44</v>
      </c>
      <c r="B46" s="68" t="str">
        <f t="shared" si="1"/>
        <v>Làm hành chính -x</v>
      </c>
      <c r="C46" s="29" t="s">
        <v>137</v>
      </c>
      <c r="D46" s="92" t="s">
        <v>370</v>
      </c>
      <c r="E46" s="37"/>
      <c r="F46" s="22" t="s">
        <v>38</v>
      </c>
      <c r="G46" s="29"/>
      <c r="H46" s="22"/>
      <c r="I46" s="22"/>
      <c r="J46" s="22"/>
      <c r="K46" s="26">
        <v>1994</v>
      </c>
      <c r="L46" s="26"/>
      <c r="M46" s="26"/>
      <c r="N46" s="42" t="s">
        <v>138</v>
      </c>
    </row>
    <row r="47" spans="1:28" hidden="1" x14ac:dyDescent="0.3">
      <c r="A47" s="7">
        <f t="shared" si="4"/>
        <v>45</v>
      </c>
      <c r="B47" s="68" t="str">
        <f t="shared" si="1"/>
        <v>Phòng Y Tế</v>
      </c>
      <c r="C47" s="29" t="s">
        <v>139</v>
      </c>
      <c r="D47" s="22" t="s">
        <v>302</v>
      </c>
      <c r="E47" s="37" t="s">
        <v>122</v>
      </c>
      <c r="F47" s="22"/>
      <c r="G47" s="31">
        <v>46113</v>
      </c>
      <c r="H47" s="22" t="s">
        <v>142</v>
      </c>
      <c r="I47" s="22"/>
      <c r="J47" s="22" t="s">
        <v>141</v>
      </c>
      <c r="K47" s="26">
        <v>1993</v>
      </c>
      <c r="L47" s="26"/>
      <c r="M47" s="26"/>
      <c r="N47" s="42" t="s">
        <v>321</v>
      </c>
    </row>
    <row r="48" spans="1:28" hidden="1" x14ac:dyDescent="0.3">
      <c r="A48" s="7">
        <f t="shared" si="4"/>
        <v>46</v>
      </c>
      <c r="B48" s="68" t="str">
        <f t="shared" si="1"/>
        <v>Tạp vụ -x</v>
      </c>
      <c r="C48" s="29" t="s">
        <v>143</v>
      </c>
      <c r="D48" s="92" t="s">
        <v>118</v>
      </c>
      <c r="E48" s="37"/>
      <c r="F48" s="22" t="s">
        <v>38</v>
      </c>
      <c r="G48" s="29"/>
      <c r="H48" s="22"/>
      <c r="I48" s="22"/>
      <c r="J48" s="22"/>
      <c r="K48" s="26">
        <v>1991</v>
      </c>
      <c r="L48" s="26"/>
      <c r="M48" s="26"/>
      <c r="N48" s="42" t="s">
        <v>144</v>
      </c>
    </row>
    <row r="49" spans="1:28" hidden="1" x14ac:dyDescent="0.3">
      <c r="A49" s="7">
        <f t="shared" si="4"/>
        <v>47</v>
      </c>
      <c r="B49" s="68" t="str">
        <f t="shared" si="1"/>
        <v>Tạp vụ -x</v>
      </c>
      <c r="C49" s="29" t="s">
        <v>145</v>
      </c>
      <c r="D49" s="92" t="s">
        <v>118</v>
      </c>
      <c r="E49" s="37"/>
      <c r="F49" s="22" t="s">
        <v>38</v>
      </c>
      <c r="G49" s="29"/>
      <c r="H49" s="22"/>
      <c r="I49" s="22"/>
      <c r="J49" s="22"/>
      <c r="K49" s="26">
        <v>1983</v>
      </c>
      <c r="L49" s="26"/>
      <c r="M49" s="26"/>
      <c r="N49" s="42" t="s">
        <v>146</v>
      </c>
    </row>
    <row r="50" spans="1:28" s="100" customFormat="1" hidden="1" x14ac:dyDescent="0.3">
      <c r="A50" s="93">
        <f t="shared" si="4"/>
        <v>48</v>
      </c>
      <c r="B50" s="94" t="str">
        <f t="shared" si="1"/>
        <v>Tổ trưởng nhân công</v>
      </c>
      <c r="C50" s="95" t="s">
        <v>167</v>
      </c>
      <c r="D50" s="96" t="s">
        <v>147</v>
      </c>
      <c r="E50" s="97" t="s">
        <v>122</v>
      </c>
      <c r="F50" s="96"/>
      <c r="G50" s="105">
        <v>46082</v>
      </c>
      <c r="H50" s="96" t="s">
        <v>148</v>
      </c>
      <c r="I50" s="96"/>
      <c r="J50" s="96" t="s">
        <v>215</v>
      </c>
      <c r="K50" s="95">
        <v>1997</v>
      </c>
      <c r="L50" s="95"/>
      <c r="M50" s="95"/>
      <c r="N50" s="108" t="s">
        <v>219</v>
      </c>
      <c r="P50" s="16"/>
      <c r="Q50" s="16"/>
      <c r="R50" s="16"/>
      <c r="S50" s="16"/>
      <c r="T50" s="66"/>
      <c r="U50" s="16"/>
      <c r="V50" s="66"/>
      <c r="W50" s="16"/>
      <c r="X50" s="16"/>
      <c r="Y50" s="16"/>
      <c r="Z50" s="16"/>
      <c r="AA50" s="16"/>
      <c r="AB50" s="16"/>
    </row>
    <row r="51" spans="1:28" s="100" customFormat="1" hidden="1" x14ac:dyDescent="0.3">
      <c r="A51" s="93">
        <f t="shared" si="4"/>
        <v>49</v>
      </c>
      <c r="B51" s="94" t="str">
        <f t="shared" si="1"/>
        <v>Kinh doanh</v>
      </c>
      <c r="C51" s="95" t="s">
        <v>149</v>
      </c>
      <c r="D51" s="96" t="s">
        <v>23</v>
      </c>
      <c r="E51" s="97" t="s">
        <v>122</v>
      </c>
      <c r="F51" s="96"/>
      <c r="G51" s="105">
        <v>46082</v>
      </c>
      <c r="H51" s="96" t="s">
        <v>148</v>
      </c>
      <c r="I51" s="96"/>
      <c r="J51" s="96" t="s">
        <v>215</v>
      </c>
      <c r="K51" s="95">
        <v>1999</v>
      </c>
      <c r="L51" s="95"/>
      <c r="M51" s="95"/>
      <c r="N51" s="108" t="s">
        <v>220</v>
      </c>
      <c r="V51" s="66"/>
    </row>
    <row r="52" spans="1:28" hidden="1" x14ac:dyDescent="0.3">
      <c r="A52" s="7">
        <f t="shared" si="4"/>
        <v>50</v>
      </c>
      <c r="B52" s="68" t="str">
        <f t="shared" si="1"/>
        <v>Trạm cân -x</v>
      </c>
      <c r="C52" s="29" t="s">
        <v>150</v>
      </c>
      <c r="D52" s="92" t="s">
        <v>140</v>
      </c>
      <c r="E52" s="37"/>
      <c r="F52" s="22" t="s">
        <v>38</v>
      </c>
      <c r="G52" s="29"/>
      <c r="H52" s="22"/>
      <c r="I52" s="22"/>
      <c r="J52" s="22" t="s">
        <v>151</v>
      </c>
      <c r="K52" s="26">
        <v>1987</v>
      </c>
      <c r="L52" s="26"/>
      <c r="M52" s="26"/>
      <c r="N52" s="42" t="s">
        <v>152</v>
      </c>
      <c r="P52" s="100"/>
      <c r="Q52" s="100"/>
      <c r="R52" s="100"/>
      <c r="S52" s="100"/>
      <c r="T52" s="100"/>
      <c r="U52" s="100"/>
      <c r="W52" s="100"/>
      <c r="X52" s="100"/>
      <c r="Y52" s="100"/>
      <c r="Z52" s="100"/>
      <c r="AA52" s="100"/>
      <c r="AB52" s="100"/>
    </row>
    <row r="53" spans="1:28" hidden="1" x14ac:dyDescent="0.3">
      <c r="A53" s="7">
        <f t="shared" si="4"/>
        <v>51</v>
      </c>
      <c r="B53" s="68" t="str">
        <f t="shared" si="1"/>
        <v>Lái xe ben</v>
      </c>
      <c r="C53" s="29" t="s">
        <v>201</v>
      </c>
      <c r="D53" s="22" t="s">
        <v>17</v>
      </c>
      <c r="E53" s="37" t="s">
        <v>122</v>
      </c>
      <c r="F53" s="22"/>
      <c r="G53" s="31">
        <v>46113</v>
      </c>
      <c r="H53" s="22" t="s">
        <v>154</v>
      </c>
      <c r="I53" s="22"/>
      <c r="J53" s="22" t="s">
        <v>155</v>
      </c>
      <c r="K53" s="26">
        <v>1990</v>
      </c>
      <c r="L53" s="26"/>
      <c r="M53" s="26"/>
      <c r="N53" s="42" t="s">
        <v>153</v>
      </c>
    </row>
    <row r="54" spans="1:28" hidden="1" x14ac:dyDescent="0.3">
      <c r="A54" s="7">
        <f t="shared" si="4"/>
        <v>52</v>
      </c>
      <c r="B54" s="68" t="str">
        <f t="shared" si="1"/>
        <v>Kinh doanh -x</v>
      </c>
      <c r="C54" s="29" t="s">
        <v>156</v>
      </c>
      <c r="D54" s="92" t="s">
        <v>158</v>
      </c>
      <c r="E54" s="37"/>
      <c r="F54" s="22" t="s">
        <v>38</v>
      </c>
      <c r="G54" s="29"/>
      <c r="H54" s="22"/>
      <c r="I54" s="22"/>
      <c r="J54" s="47" t="s">
        <v>161</v>
      </c>
      <c r="K54" s="26">
        <v>1984</v>
      </c>
      <c r="L54" s="26"/>
      <c r="M54" s="26"/>
      <c r="N54" s="42" t="s">
        <v>157</v>
      </c>
    </row>
    <row r="55" spans="1:28" hidden="1" x14ac:dyDescent="0.3">
      <c r="A55" s="7">
        <f t="shared" si="4"/>
        <v>53</v>
      </c>
      <c r="B55" s="68" t="str">
        <f t="shared" si="1"/>
        <v>Làm hành chính -x</v>
      </c>
      <c r="C55" s="29" t="s">
        <v>159</v>
      </c>
      <c r="D55" s="92" t="s">
        <v>370</v>
      </c>
      <c r="E55" s="37"/>
      <c r="F55" s="22" t="s">
        <v>38</v>
      </c>
      <c r="G55" s="29"/>
      <c r="H55" s="22"/>
      <c r="I55" s="22"/>
      <c r="J55" s="47" t="str">
        <f>J54</f>
        <v>Tài năng; Tuyển bên dăm -XNK</v>
      </c>
      <c r="K55" s="26">
        <v>1995</v>
      </c>
      <c r="L55" s="26"/>
      <c r="M55" s="26"/>
      <c r="N55" s="42" t="s">
        <v>160</v>
      </c>
    </row>
    <row r="56" spans="1:28" hidden="1" x14ac:dyDescent="0.3">
      <c r="A56" s="7">
        <f t="shared" si="4"/>
        <v>54</v>
      </c>
      <c r="B56" s="68" t="str">
        <f t="shared" si="1"/>
        <v>Lái xe ben</v>
      </c>
      <c r="C56" s="29" t="s">
        <v>162</v>
      </c>
      <c r="D56" s="22" t="s">
        <v>17</v>
      </c>
      <c r="E56" s="37" t="s">
        <v>122</v>
      </c>
      <c r="F56" s="22"/>
      <c r="G56" s="29"/>
      <c r="H56" s="22" t="str">
        <f>H53</f>
        <v>12tr</v>
      </c>
      <c r="I56" s="22"/>
      <c r="J56" s="22" t="s">
        <v>164</v>
      </c>
      <c r="K56" s="26">
        <v>1991</v>
      </c>
      <c r="L56" s="26"/>
      <c r="M56" s="26"/>
      <c r="N56" s="42" t="s">
        <v>163</v>
      </c>
    </row>
    <row r="57" spans="1:28" hidden="1" x14ac:dyDescent="0.3">
      <c r="A57" s="7">
        <f t="shared" si="4"/>
        <v>55</v>
      </c>
      <c r="B57" s="68" t="str">
        <f t="shared" si="1"/>
        <v>Lái xe ben</v>
      </c>
      <c r="C57" s="29" t="s">
        <v>168</v>
      </c>
      <c r="D57" s="22" t="s">
        <v>17</v>
      </c>
      <c r="E57" s="37" t="s">
        <v>122</v>
      </c>
      <c r="F57" s="22"/>
      <c r="G57" s="31">
        <v>46113</v>
      </c>
      <c r="H57" s="22" t="str">
        <f>H56</f>
        <v>12tr</v>
      </c>
      <c r="I57" s="22"/>
      <c r="J57" s="22" t="s">
        <v>14</v>
      </c>
      <c r="K57" s="26">
        <v>1983</v>
      </c>
      <c r="L57" s="26"/>
      <c r="M57" s="26"/>
      <c r="N57" s="42" t="s">
        <v>169</v>
      </c>
    </row>
    <row r="58" spans="1:28" hidden="1" x14ac:dyDescent="0.3">
      <c r="A58" s="7">
        <f t="shared" si="4"/>
        <v>56</v>
      </c>
      <c r="B58" s="68" t="str">
        <f t="shared" si="1"/>
        <v>Lái xe đầu kéo</v>
      </c>
      <c r="C58" s="29" t="s">
        <v>248</v>
      </c>
      <c r="D58" s="22" t="s">
        <v>18</v>
      </c>
      <c r="E58" s="37" t="s">
        <v>122</v>
      </c>
      <c r="F58" s="22"/>
      <c r="G58" s="31">
        <v>46113</v>
      </c>
      <c r="H58" s="22" t="s">
        <v>202</v>
      </c>
      <c r="I58" s="22"/>
      <c r="J58" s="46" t="s">
        <v>203</v>
      </c>
      <c r="K58" s="26">
        <v>1986</v>
      </c>
      <c r="L58" s="26"/>
      <c r="M58" s="26"/>
      <c r="N58" s="42" t="s">
        <v>205</v>
      </c>
    </row>
    <row r="59" spans="1:28" ht="27.6" hidden="1" x14ac:dyDescent="0.3">
      <c r="A59" s="7">
        <f t="shared" si="4"/>
        <v>57</v>
      </c>
      <c r="B59" s="68" t="str">
        <f t="shared" si="1"/>
        <v>Lái xe đầu kéo</v>
      </c>
      <c r="C59" s="29" t="s">
        <v>204</v>
      </c>
      <c r="D59" s="22" t="s">
        <v>18</v>
      </c>
      <c r="E59" s="37" t="s">
        <v>122</v>
      </c>
      <c r="F59" s="22"/>
      <c r="G59" s="31">
        <v>46113</v>
      </c>
      <c r="H59" s="22" t="str">
        <f>H58</f>
        <v>13tr</v>
      </c>
      <c r="I59" s="22"/>
      <c r="J59" s="50" t="s">
        <v>421</v>
      </c>
      <c r="K59" s="26">
        <v>1978</v>
      </c>
      <c r="L59" s="26"/>
      <c r="M59" s="26"/>
      <c r="N59" s="42" t="s">
        <v>206</v>
      </c>
    </row>
    <row r="60" spans="1:28" hidden="1" x14ac:dyDescent="0.3">
      <c r="A60" s="7">
        <f t="shared" si="4"/>
        <v>58</v>
      </c>
      <c r="B60" s="68" t="str">
        <f t="shared" si="1"/>
        <v>Lái xe ben</v>
      </c>
      <c r="C60" s="29" t="s">
        <v>207</v>
      </c>
      <c r="D60" s="22" t="s">
        <v>17</v>
      </c>
      <c r="E60" s="37" t="s">
        <v>122</v>
      </c>
      <c r="F60" s="22"/>
      <c r="G60" s="31">
        <v>46113</v>
      </c>
      <c r="H60" s="22" t="s">
        <v>154</v>
      </c>
      <c r="I60" s="22"/>
      <c r="J60" s="46" t="s">
        <v>209</v>
      </c>
      <c r="K60" s="26">
        <v>1990</v>
      </c>
      <c r="L60" s="26"/>
      <c r="M60" s="26"/>
      <c r="N60" s="42" t="s">
        <v>208</v>
      </c>
    </row>
    <row r="61" spans="1:28" s="100" customFormat="1" ht="41.4" hidden="1" x14ac:dyDescent="0.3">
      <c r="A61" s="93">
        <f t="shared" si="4"/>
        <v>59</v>
      </c>
      <c r="B61" s="94" t="str">
        <f t="shared" si="1"/>
        <v>Thợ vận hành băng tải</v>
      </c>
      <c r="C61" s="95" t="s">
        <v>210</v>
      </c>
      <c r="D61" s="96" t="s">
        <v>16</v>
      </c>
      <c r="E61" s="97" t="s">
        <v>122</v>
      </c>
      <c r="F61" s="96"/>
      <c r="G61" s="105">
        <v>46082</v>
      </c>
      <c r="H61" s="96"/>
      <c r="I61" s="96" t="s">
        <v>229</v>
      </c>
      <c r="J61" s="112" t="s">
        <v>389</v>
      </c>
      <c r="K61" s="95">
        <v>1999</v>
      </c>
      <c r="L61" s="95"/>
      <c r="M61" s="95"/>
      <c r="N61" s="108" t="s">
        <v>211</v>
      </c>
      <c r="P61" s="16"/>
      <c r="Q61" s="16"/>
      <c r="R61" s="16"/>
      <c r="S61" s="16"/>
      <c r="T61" s="66"/>
      <c r="U61" s="16"/>
      <c r="V61" s="66"/>
      <c r="W61" s="16"/>
      <c r="X61" s="16"/>
      <c r="Y61" s="16"/>
      <c r="Z61" s="16"/>
      <c r="AA61" s="16"/>
      <c r="AB61" s="16"/>
    </row>
    <row r="62" spans="1:28" ht="55.2" hidden="1" x14ac:dyDescent="0.3">
      <c r="A62" s="7">
        <f t="shared" si="4"/>
        <v>60</v>
      </c>
      <c r="B62" s="68" t="str">
        <f t="shared" si="1"/>
        <v>Thợ vận hành băng tải</v>
      </c>
      <c r="C62" s="29" t="s">
        <v>212</v>
      </c>
      <c r="D62" s="22" t="s">
        <v>16</v>
      </c>
      <c r="E62" s="37" t="s">
        <v>122</v>
      </c>
      <c r="F62" s="22"/>
      <c r="G62" s="31">
        <v>46113</v>
      </c>
      <c r="H62" s="22" t="s">
        <v>154</v>
      </c>
      <c r="I62" s="22"/>
      <c r="J62" s="50" t="s">
        <v>257</v>
      </c>
      <c r="K62" s="26">
        <v>1982</v>
      </c>
      <c r="L62" s="26"/>
      <c r="M62" s="26"/>
      <c r="N62" s="42" t="s">
        <v>213</v>
      </c>
      <c r="P62" s="100"/>
      <c r="Q62" s="100"/>
      <c r="R62" s="100"/>
      <c r="S62" s="100"/>
      <c r="T62" s="100"/>
      <c r="U62" s="100"/>
      <c r="W62" s="100"/>
      <c r="X62" s="100"/>
      <c r="Y62" s="100"/>
      <c r="Z62" s="100"/>
      <c r="AA62" s="100"/>
      <c r="AB62" s="100"/>
    </row>
    <row r="63" spans="1:28" hidden="1" x14ac:dyDescent="0.3">
      <c r="A63" s="7">
        <f t="shared" si="4"/>
        <v>61</v>
      </c>
      <c r="B63" s="68" t="str">
        <f t="shared" si="1"/>
        <v>Bảo vệ -x</v>
      </c>
      <c r="C63" s="29" t="s">
        <v>214</v>
      </c>
      <c r="D63" s="92" t="s">
        <v>115</v>
      </c>
      <c r="E63" s="37"/>
      <c r="F63" s="22" t="s">
        <v>38</v>
      </c>
      <c r="G63" s="29"/>
      <c r="H63" s="22"/>
      <c r="I63" s="22"/>
      <c r="J63" s="46" t="s">
        <v>263</v>
      </c>
      <c r="K63" s="26">
        <v>1981</v>
      </c>
      <c r="L63" s="26"/>
      <c r="M63" s="26"/>
      <c r="N63" s="42" t="s">
        <v>264</v>
      </c>
    </row>
    <row r="64" spans="1:28" hidden="1" x14ac:dyDescent="0.3">
      <c r="A64" s="114">
        <f t="shared" si="4"/>
        <v>62</v>
      </c>
      <c r="B64" s="115">
        <f t="shared" si="1"/>
        <v>0</v>
      </c>
      <c r="C64" s="29"/>
      <c r="D64" s="91"/>
      <c r="E64" s="89"/>
      <c r="F64" s="22"/>
      <c r="G64" s="31"/>
      <c r="H64" s="22"/>
      <c r="I64" s="43"/>
      <c r="J64" s="50"/>
      <c r="K64" s="29"/>
      <c r="L64" s="29"/>
      <c r="M64" s="29"/>
      <c r="N64" s="116"/>
      <c r="O64" s="16"/>
    </row>
    <row r="65" spans="1:28" ht="27.6" hidden="1" x14ac:dyDescent="0.3">
      <c r="A65" s="114">
        <f t="shared" si="4"/>
        <v>63</v>
      </c>
      <c r="B65" s="115" t="str">
        <f t="shared" si="1"/>
        <v>Lao động phổ thông</v>
      </c>
      <c r="C65" s="29" t="s">
        <v>258</v>
      </c>
      <c r="D65" s="22" t="s">
        <v>26</v>
      </c>
      <c r="E65" s="89" t="s">
        <v>122</v>
      </c>
      <c r="F65" s="22"/>
      <c r="G65" s="31"/>
      <c r="H65" s="22"/>
      <c r="I65" s="48" t="s">
        <v>224</v>
      </c>
      <c r="J65" s="48" t="s">
        <v>222</v>
      </c>
      <c r="K65" s="29">
        <v>1974</v>
      </c>
      <c r="L65" s="29"/>
      <c r="M65" s="29"/>
      <c r="N65" s="116" t="s">
        <v>221</v>
      </c>
      <c r="O65" s="16"/>
      <c r="T65" s="16"/>
      <c r="V65" s="16"/>
    </row>
    <row r="66" spans="1:28" hidden="1" x14ac:dyDescent="0.3">
      <c r="A66" s="7">
        <f t="shared" si="4"/>
        <v>64</v>
      </c>
      <c r="B66" s="68" t="str">
        <f t="shared" si="1"/>
        <v>Lái xúc lật</v>
      </c>
      <c r="C66" s="29" t="s">
        <v>225</v>
      </c>
      <c r="D66" s="22" t="s">
        <v>13</v>
      </c>
      <c r="E66" s="37" t="s">
        <v>122</v>
      </c>
      <c r="F66" s="22"/>
      <c r="G66" s="31">
        <v>46113</v>
      </c>
      <c r="H66" s="22" t="s">
        <v>228</v>
      </c>
      <c r="I66" s="22"/>
      <c r="J66" s="22" t="s">
        <v>227</v>
      </c>
      <c r="K66" s="26">
        <v>1976</v>
      </c>
      <c r="L66" s="26"/>
      <c r="M66" s="26"/>
      <c r="N66" s="42" t="s">
        <v>226</v>
      </c>
      <c r="O66" s="20" t="s">
        <v>318</v>
      </c>
      <c r="T66" s="16"/>
    </row>
    <row r="67" spans="1:28" s="100" customFormat="1" hidden="1" x14ac:dyDescent="0.3">
      <c r="A67" s="93">
        <f t="shared" si="4"/>
        <v>65</v>
      </c>
      <c r="B67" s="94" t="str">
        <f t="shared" si="1"/>
        <v>Lao động phổ thông</v>
      </c>
      <c r="C67" s="95" t="s">
        <v>405</v>
      </c>
      <c r="D67" s="96" t="s">
        <v>26</v>
      </c>
      <c r="E67" s="97" t="s">
        <v>122</v>
      </c>
      <c r="F67" s="96"/>
      <c r="G67" s="105">
        <v>46113</v>
      </c>
      <c r="H67" s="96"/>
      <c r="I67" s="97"/>
      <c r="J67" s="96"/>
      <c r="K67" s="95">
        <v>2007</v>
      </c>
      <c r="L67" s="95"/>
      <c r="M67" s="95"/>
      <c r="N67" s="108" t="s">
        <v>406</v>
      </c>
      <c r="P67" s="16"/>
      <c r="Q67" s="16"/>
      <c r="R67" s="16"/>
      <c r="S67" s="16"/>
      <c r="T67" s="66"/>
      <c r="U67" s="16"/>
      <c r="V67" s="66"/>
      <c r="W67" s="16"/>
      <c r="X67" s="16"/>
      <c r="Y67" s="16"/>
      <c r="Z67" s="16"/>
      <c r="AA67" s="16"/>
      <c r="AB67" s="16"/>
    </row>
    <row r="68" spans="1:28" hidden="1" x14ac:dyDescent="0.3">
      <c r="A68" s="7">
        <f>A67+1</f>
        <v>66</v>
      </c>
      <c r="B68" s="68">
        <f t="shared" ref="B68:B150" si="5">D68</f>
        <v>0</v>
      </c>
      <c r="C68" s="29"/>
      <c r="D68" s="22"/>
      <c r="E68" s="37"/>
      <c r="F68" s="22"/>
      <c r="G68" s="31"/>
      <c r="H68" s="22"/>
      <c r="I68" s="22"/>
      <c r="J68" s="43"/>
      <c r="K68" s="26"/>
      <c r="L68" s="26"/>
      <c r="M68" s="26"/>
      <c r="N68" s="42"/>
      <c r="P68" s="100"/>
      <c r="Q68" s="100"/>
      <c r="R68" s="100"/>
      <c r="S68" s="100"/>
      <c r="T68" s="100"/>
      <c r="U68" s="100"/>
      <c r="W68" s="100"/>
      <c r="X68" s="100"/>
      <c r="Y68" s="100"/>
      <c r="Z68" s="100"/>
      <c r="AA68" s="100"/>
      <c r="AB68" s="100"/>
    </row>
    <row r="69" spans="1:28" ht="27.6" hidden="1" x14ac:dyDescent="0.3">
      <c r="A69" s="7">
        <f t="shared" si="4"/>
        <v>67</v>
      </c>
      <c r="B69" s="68" t="str">
        <f t="shared" si="5"/>
        <v>Lái cẩu bánh xích -x</v>
      </c>
      <c r="C69" s="29" t="s">
        <v>230</v>
      </c>
      <c r="D69" s="91" t="s">
        <v>366</v>
      </c>
      <c r="E69" s="37"/>
      <c r="F69" s="22"/>
      <c r="G69" s="31"/>
      <c r="H69" s="22"/>
      <c r="I69" s="49"/>
      <c r="J69" s="22" t="s">
        <v>231</v>
      </c>
      <c r="K69" s="26">
        <v>1995</v>
      </c>
      <c r="L69" s="26"/>
      <c r="M69" s="26"/>
      <c r="N69" s="82" t="s">
        <v>322</v>
      </c>
    </row>
    <row r="70" spans="1:28" hidden="1" x14ac:dyDescent="0.3">
      <c r="A70" s="114">
        <f>A69+1</f>
        <v>68</v>
      </c>
      <c r="B70" s="115" t="str">
        <f t="shared" si="5"/>
        <v>Bảo vệ</v>
      </c>
      <c r="C70" s="29" t="s">
        <v>234</v>
      </c>
      <c r="D70" s="22" t="s">
        <v>21</v>
      </c>
      <c r="E70" s="89" t="s">
        <v>122</v>
      </c>
      <c r="F70" s="22"/>
      <c r="G70" s="31"/>
      <c r="H70" s="22"/>
      <c r="I70" s="48" t="s">
        <v>224</v>
      </c>
      <c r="J70" s="22" t="s">
        <v>233</v>
      </c>
      <c r="K70" s="29">
        <v>1972</v>
      </c>
      <c r="L70" s="29"/>
      <c r="M70" s="29"/>
      <c r="N70" s="116" t="s">
        <v>232</v>
      </c>
      <c r="O70" s="16"/>
    </row>
    <row r="71" spans="1:28" hidden="1" x14ac:dyDescent="0.3">
      <c r="A71" s="7">
        <f t="shared" si="4"/>
        <v>69</v>
      </c>
      <c r="B71" s="68" t="str">
        <f t="shared" si="5"/>
        <v>Lái xe ben</v>
      </c>
      <c r="C71" s="29" t="s">
        <v>235</v>
      </c>
      <c r="D71" s="22" t="s">
        <v>17</v>
      </c>
      <c r="E71" s="37" t="s">
        <v>122</v>
      </c>
      <c r="F71" s="22"/>
      <c r="G71" s="31">
        <v>46113</v>
      </c>
      <c r="H71" s="22" t="s">
        <v>154</v>
      </c>
      <c r="I71" s="22"/>
      <c r="J71" s="22" t="s">
        <v>236</v>
      </c>
      <c r="K71" s="26">
        <v>1986</v>
      </c>
      <c r="L71" s="26"/>
      <c r="M71" s="26"/>
      <c r="N71" s="42" t="s">
        <v>237</v>
      </c>
      <c r="T71" s="16"/>
    </row>
    <row r="72" spans="1:28" hidden="1" x14ac:dyDescent="0.3">
      <c r="A72" s="7">
        <f t="shared" si="4"/>
        <v>70</v>
      </c>
      <c r="B72" s="68" t="str">
        <f t="shared" si="5"/>
        <v>Lái xe ben</v>
      </c>
      <c r="C72" s="29" t="s">
        <v>238</v>
      </c>
      <c r="D72" s="22" t="s">
        <v>17</v>
      </c>
      <c r="E72" s="37" t="s">
        <v>122</v>
      </c>
      <c r="F72" s="22"/>
      <c r="G72" s="31">
        <v>46113</v>
      </c>
      <c r="H72" s="22"/>
      <c r="I72" s="22"/>
      <c r="J72" s="22" t="s">
        <v>240</v>
      </c>
      <c r="K72" s="26">
        <v>1994</v>
      </c>
      <c r="L72" s="26"/>
      <c r="M72" s="26"/>
      <c r="N72" s="42" t="s">
        <v>239</v>
      </c>
    </row>
    <row r="73" spans="1:28" hidden="1" x14ac:dyDescent="0.3">
      <c r="A73" s="7">
        <f t="shared" si="4"/>
        <v>71</v>
      </c>
      <c r="B73" s="68">
        <f t="shared" si="5"/>
        <v>0</v>
      </c>
      <c r="C73" s="29"/>
      <c r="D73" s="22"/>
      <c r="E73" s="37"/>
      <c r="F73" s="22"/>
      <c r="G73" s="31"/>
      <c r="H73" s="22"/>
      <c r="I73" s="22"/>
      <c r="J73" s="22"/>
      <c r="K73" s="26"/>
      <c r="L73" s="26"/>
      <c r="M73" s="26"/>
      <c r="N73" s="42"/>
      <c r="O73" s="20" t="s">
        <v>318</v>
      </c>
    </row>
    <row r="74" spans="1:28" ht="27.6" hidden="1" x14ac:dyDescent="0.3">
      <c r="A74" s="7">
        <f t="shared" si="4"/>
        <v>72</v>
      </c>
      <c r="B74" s="68" t="str">
        <f t="shared" si="5"/>
        <v>Cơ điện -x</v>
      </c>
      <c r="C74" s="29" t="s">
        <v>241</v>
      </c>
      <c r="D74" s="92" t="s">
        <v>261</v>
      </c>
      <c r="E74" s="37"/>
      <c r="F74" s="22" t="s">
        <v>38</v>
      </c>
      <c r="G74" s="29"/>
      <c r="H74" s="22"/>
      <c r="I74" s="22" t="s">
        <v>223</v>
      </c>
      <c r="J74" s="49" t="s">
        <v>243</v>
      </c>
      <c r="K74" s="26">
        <v>1980</v>
      </c>
      <c r="L74" s="26"/>
      <c r="M74" s="26"/>
      <c r="N74" s="42" t="s">
        <v>242</v>
      </c>
    </row>
    <row r="75" spans="1:28" s="100" customFormat="1" hidden="1" x14ac:dyDescent="0.3">
      <c r="A75" s="93">
        <f t="shared" si="4"/>
        <v>73</v>
      </c>
      <c r="B75" s="94" t="str">
        <f t="shared" si="5"/>
        <v>Lái máy ủi</v>
      </c>
      <c r="C75" s="95" t="s">
        <v>259</v>
      </c>
      <c r="D75" s="96" t="s">
        <v>12</v>
      </c>
      <c r="E75" s="97" t="s">
        <v>122</v>
      </c>
      <c r="F75" s="96"/>
      <c r="G75" s="105">
        <v>46082</v>
      </c>
      <c r="H75" s="96" t="s">
        <v>148</v>
      </c>
      <c r="I75" s="97" t="s">
        <v>393</v>
      </c>
      <c r="J75" s="113" t="s">
        <v>394</v>
      </c>
      <c r="K75" s="95">
        <v>1999</v>
      </c>
      <c r="L75" s="95"/>
      <c r="M75" s="95"/>
      <c r="N75" s="108" t="s">
        <v>244</v>
      </c>
      <c r="P75" s="16"/>
      <c r="Q75" s="16"/>
      <c r="R75" s="16"/>
      <c r="S75" s="16"/>
      <c r="T75" s="66"/>
      <c r="U75" s="16"/>
      <c r="V75" s="66"/>
      <c r="W75" s="16"/>
      <c r="X75" s="16"/>
      <c r="Y75" s="16"/>
      <c r="Z75" s="16"/>
      <c r="AA75" s="16"/>
      <c r="AB75" s="16"/>
    </row>
    <row r="76" spans="1:28" hidden="1" x14ac:dyDescent="0.3">
      <c r="A76" s="7">
        <f t="shared" si="4"/>
        <v>74</v>
      </c>
      <c r="B76" s="68" t="str">
        <f t="shared" si="5"/>
        <v>Lái xe ben -x</v>
      </c>
      <c r="C76" s="29" t="s">
        <v>245</v>
      </c>
      <c r="D76" s="92" t="s">
        <v>247</v>
      </c>
      <c r="E76" s="37"/>
      <c r="F76" s="22" t="s">
        <v>38</v>
      </c>
      <c r="G76" s="31"/>
      <c r="H76" s="22" t="s">
        <v>154</v>
      </c>
      <c r="I76" s="22" t="s">
        <v>262</v>
      </c>
      <c r="J76" s="22" t="s">
        <v>260</v>
      </c>
      <c r="K76" s="26">
        <v>2000</v>
      </c>
      <c r="L76" s="26"/>
      <c r="M76" s="26"/>
      <c r="N76" s="42" t="s">
        <v>246</v>
      </c>
      <c r="P76" s="100"/>
      <c r="Q76" s="100"/>
      <c r="R76" s="100"/>
      <c r="S76" s="100"/>
      <c r="T76" s="100"/>
      <c r="U76" s="100"/>
      <c r="W76" s="100"/>
      <c r="X76" s="100"/>
      <c r="Y76" s="100"/>
      <c r="Z76" s="100"/>
      <c r="AA76" s="100"/>
      <c r="AB76" s="100"/>
    </row>
    <row r="77" spans="1:28" hidden="1" x14ac:dyDescent="0.3">
      <c r="A77" s="7">
        <f t="shared" si="4"/>
        <v>75</v>
      </c>
      <c r="B77" s="68" t="str">
        <f t="shared" si="5"/>
        <v>Lái xe ben</v>
      </c>
      <c r="C77" s="29" t="s">
        <v>249</v>
      </c>
      <c r="D77" s="22" t="s">
        <v>17</v>
      </c>
      <c r="E77" s="37" t="s">
        <v>122</v>
      </c>
      <c r="F77" s="22"/>
      <c r="G77" s="31">
        <v>46113</v>
      </c>
      <c r="H77" s="22" t="s">
        <v>154</v>
      </c>
      <c r="I77" s="22"/>
      <c r="J77" s="22"/>
      <c r="K77" s="26">
        <v>1987</v>
      </c>
      <c r="L77" s="26"/>
      <c r="M77" s="26"/>
      <c r="N77" s="42" t="s">
        <v>250</v>
      </c>
    </row>
    <row r="78" spans="1:28" x14ac:dyDescent="0.3">
      <c r="A78" s="7">
        <f t="shared" si="4"/>
        <v>76</v>
      </c>
      <c r="B78" s="68" t="str">
        <f t="shared" si="5"/>
        <v>Lái máy đào -x</v>
      </c>
      <c r="C78" s="29" t="s">
        <v>251</v>
      </c>
      <c r="D78" s="91" t="s">
        <v>299</v>
      </c>
      <c r="E78" s="37"/>
      <c r="F78" s="22"/>
      <c r="G78" s="31">
        <v>46113</v>
      </c>
      <c r="H78" s="22" t="s">
        <v>154</v>
      </c>
      <c r="I78" s="22"/>
      <c r="J78" s="22" t="s">
        <v>252</v>
      </c>
      <c r="K78" s="26">
        <v>1971</v>
      </c>
      <c r="L78" s="26"/>
      <c r="M78" s="26"/>
      <c r="N78" s="42" t="s">
        <v>253</v>
      </c>
    </row>
    <row r="79" spans="1:28" hidden="1" x14ac:dyDescent="0.3">
      <c r="A79" s="7">
        <f>A78+1</f>
        <v>77</v>
      </c>
      <c r="B79" s="68" t="str">
        <f t="shared" si="5"/>
        <v>Bảo vệ</v>
      </c>
      <c r="C79" s="29" t="s">
        <v>254</v>
      </c>
      <c r="D79" s="22" t="s">
        <v>21</v>
      </c>
      <c r="E79" s="37" t="s">
        <v>122</v>
      </c>
      <c r="F79" s="22"/>
      <c r="G79" s="31">
        <v>46113</v>
      </c>
      <c r="H79" s="22"/>
      <c r="I79" s="22"/>
      <c r="J79" s="22" t="s">
        <v>266</v>
      </c>
      <c r="K79" s="26">
        <v>1973</v>
      </c>
      <c r="L79" s="26"/>
      <c r="M79" s="26"/>
      <c r="N79" s="40" t="s">
        <v>255</v>
      </c>
    </row>
    <row r="80" spans="1:28" ht="27.6" hidden="1" x14ac:dyDescent="0.3">
      <c r="A80" s="114">
        <f t="shared" si="4"/>
        <v>78</v>
      </c>
      <c r="B80" s="115" t="str">
        <f t="shared" si="5"/>
        <v>Bảo vệ</v>
      </c>
      <c r="C80" s="29" t="s">
        <v>267</v>
      </c>
      <c r="D80" s="22" t="s">
        <v>21</v>
      </c>
      <c r="E80" s="89" t="s">
        <v>122</v>
      </c>
      <c r="F80" s="22"/>
      <c r="G80" s="29"/>
      <c r="H80" s="22"/>
      <c r="I80" s="22" t="s">
        <v>311</v>
      </c>
      <c r="J80" s="43" t="s">
        <v>268</v>
      </c>
      <c r="K80" s="29">
        <v>1984</v>
      </c>
      <c r="L80" s="29"/>
      <c r="M80" s="29"/>
      <c r="N80" s="117" t="s">
        <v>331</v>
      </c>
      <c r="O80" s="16"/>
    </row>
    <row r="81" spans="1:22" ht="27.6" hidden="1" x14ac:dyDescent="0.3">
      <c r="A81" s="7">
        <f t="shared" si="4"/>
        <v>79</v>
      </c>
      <c r="B81" s="68" t="str">
        <f t="shared" si="5"/>
        <v>Bảo vệ -x</v>
      </c>
      <c r="C81" s="29" t="s">
        <v>269</v>
      </c>
      <c r="D81" s="92" t="s">
        <v>115</v>
      </c>
      <c r="E81" s="37"/>
      <c r="F81" s="22" t="s">
        <v>38</v>
      </c>
      <c r="G81" s="29"/>
      <c r="H81" s="22"/>
      <c r="I81" s="48" t="s">
        <v>224</v>
      </c>
      <c r="J81" s="43" t="s">
        <v>273</v>
      </c>
      <c r="K81" s="26">
        <v>1970</v>
      </c>
      <c r="L81" s="26"/>
      <c r="M81" s="26"/>
      <c r="N81" s="40" t="s">
        <v>270</v>
      </c>
      <c r="T81" s="16"/>
    </row>
    <row r="82" spans="1:22" hidden="1" x14ac:dyDescent="0.3">
      <c r="A82" s="7">
        <f t="shared" si="4"/>
        <v>80</v>
      </c>
      <c r="B82" s="68" t="str">
        <f t="shared" si="5"/>
        <v>Lái cẩu Liebherr</v>
      </c>
      <c r="C82" s="29" t="s">
        <v>271</v>
      </c>
      <c r="D82" s="22" t="s">
        <v>10</v>
      </c>
      <c r="E82" s="37" t="s">
        <v>122</v>
      </c>
      <c r="F82" s="22"/>
      <c r="G82" s="31">
        <v>46162</v>
      </c>
      <c r="H82" s="22" t="s">
        <v>292</v>
      </c>
      <c r="I82" s="22" t="s">
        <v>293</v>
      </c>
      <c r="J82" s="22" t="s">
        <v>272</v>
      </c>
      <c r="K82" s="26">
        <v>1982</v>
      </c>
      <c r="L82" s="26"/>
      <c r="M82" s="26"/>
      <c r="N82" s="40" t="s">
        <v>274</v>
      </c>
    </row>
    <row r="83" spans="1:22" hidden="1" x14ac:dyDescent="0.3">
      <c r="A83" s="7">
        <f t="shared" si="4"/>
        <v>81</v>
      </c>
      <c r="B83" s="68" t="str">
        <f t="shared" si="5"/>
        <v>Lái xe ben</v>
      </c>
      <c r="C83" s="29" t="s">
        <v>275</v>
      </c>
      <c r="D83" s="22" t="s">
        <v>17</v>
      </c>
      <c r="E83" s="37" t="s">
        <v>122</v>
      </c>
      <c r="F83" s="22"/>
      <c r="G83" s="29"/>
      <c r="H83" s="22"/>
      <c r="I83" s="22"/>
      <c r="J83" s="22" t="s">
        <v>276</v>
      </c>
      <c r="K83" s="26">
        <v>1992</v>
      </c>
      <c r="L83" s="26"/>
      <c r="M83" s="26"/>
      <c r="N83" s="40" t="s">
        <v>277</v>
      </c>
      <c r="P83" s="66"/>
      <c r="Q83" s="66"/>
      <c r="R83" s="66"/>
      <c r="S83" s="66"/>
    </row>
    <row r="84" spans="1:22" ht="27.6" hidden="1" x14ac:dyDescent="0.3">
      <c r="A84" s="7">
        <f t="shared" si="4"/>
        <v>82</v>
      </c>
      <c r="B84" s="68" t="str">
        <f t="shared" si="5"/>
        <v>Lao động phổ thông</v>
      </c>
      <c r="C84" s="29" t="s">
        <v>278</v>
      </c>
      <c r="D84" s="22" t="s">
        <v>26</v>
      </c>
      <c r="E84" s="37" t="s">
        <v>122</v>
      </c>
      <c r="F84" s="22"/>
      <c r="G84" s="29"/>
      <c r="H84" s="22"/>
      <c r="I84" s="22"/>
      <c r="J84" s="43" t="s">
        <v>279</v>
      </c>
      <c r="K84" s="65">
        <v>1991</v>
      </c>
      <c r="L84" s="26"/>
      <c r="M84" s="26"/>
      <c r="N84" s="65" t="s">
        <v>280</v>
      </c>
    </row>
    <row r="85" spans="1:22" ht="27.6" hidden="1" x14ac:dyDescent="0.3">
      <c r="A85" s="114">
        <f t="shared" si="4"/>
        <v>83</v>
      </c>
      <c r="B85" s="115" t="str">
        <f t="shared" si="5"/>
        <v>Lái xe đầu kéo</v>
      </c>
      <c r="C85" s="29" t="s">
        <v>281</v>
      </c>
      <c r="D85" s="22" t="s">
        <v>18</v>
      </c>
      <c r="E85" s="89" t="s">
        <v>122</v>
      </c>
      <c r="F85" s="22"/>
      <c r="G85" s="29"/>
      <c r="H85" s="22"/>
      <c r="I85" s="22" t="s">
        <v>303</v>
      </c>
      <c r="J85" s="43" t="s">
        <v>282</v>
      </c>
      <c r="K85" s="29">
        <v>1987</v>
      </c>
      <c r="L85" s="29"/>
      <c r="M85" s="29"/>
      <c r="N85" s="117" t="s">
        <v>283</v>
      </c>
      <c r="O85" s="16"/>
    </row>
    <row r="86" spans="1:22" ht="27.6" hidden="1" x14ac:dyDescent="0.3">
      <c r="A86" s="7">
        <f t="shared" si="4"/>
        <v>84</v>
      </c>
      <c r="B86" s="68" t="str">
        <f t="shared" si="5"/>
        <v>Lái xúc lật -x</v>
      </c>
      <c r="C86" s="29" t="s">
        <v>284</v>
      </c>
      <c r="D86" s="92" t="s">
        <v>301</v>
      </c>
      <c r="E86" s="37"/>
      <c r="F86" s="22" t="s">
        <v>38</v>
      </c>
      <c r="G86" s="29"/>
      <c r="H86" s="22"/>
      <c r="I86" s="22"/>
      <c r="J86" s="43" t="s">
        <v>288</v>
      </c>
      <c r="K86" s="26">
        <v>1972</v>
      </c>
      <c r="L86" s="26"/>
      <c r="M86" s="26"/>
      <c r="N86" s="40" t="s">
        <v>285</v>
      </c>
      <c r="T86" s="16"/>
    </row>
    <row r="87" spans="1:22" ht="27.6" x14ac:dyDescent="0.3">
      <c r="A87" s="7">
        <f t="shared" si="4"/>
        <v>85</v>
      </c>
      <c r="B87" s="68" t="str">
        <f t="shared" si="5"/>
        <v>Lái máy đào</v>
      </c>
      <c r="C87" s="29" t="s">
        <v>286</v>
      </c>
      <c r="D87" s="22" t="s">
        <v>15</v>
      </c>
      <c r="E87" s="23" t="s">
        <v>122</v>
      </c>
      <c r="F87" s="22" t="s">
        <v>38</v>
      </c>
      <c r="G87" s="31"/>
      <c r="H87" s="22"/>
      <c r="I87" s="22" t="s">
        <v>555</v>
      </c>
      <c r="J87" s="43" t="s">
        <v>404</v>
      </c>
      <c r="K87" s="26">
        <v>1997</v>
      </c>
      <c r="L87" s="26"/>
      <c r="M87" s="26"/>
      <c r="N87" s="40" t="s">
        <v>287</v>
      </c>
    </row>
    <row r="88" spans="1:22" hidden="1" x14ac:dyDescent="0.3">
      <c r="A88" s="114">
        <f t="shared" si="4"/>
        <v>86</v>
      </c>
      <c r="B88" s="115">
        <f t="shared" si="5"/>
        <v>0</v>
      </c>
      <c r="C88" s="29"/>
      <c r="D88" s="22"/>
      <c r="E88" s="89"/>
      <c r="F88" s="22"/>
      <c r="G88" s="31"/>
      <c r="H88" s="22"/>
      <c r="I88" s="22"/>
      <c r="J88" s="43"/>
      <c r="K88" s="29"/>
      <c r="L88" s="29"/>
      <c r="M88" s="29"/>
      <c r="N88" s="117"/>
      <c r="O88" s="16"/>
    </row>
    <row r="89" spans="1:22" ht="27.6" hidden="1" x14ac:dyDescent="0.3">
      <c r="A89" s="7">
        <f t="shared" si="4"/>
        <v>87</v>
      </c>
      <c r="B89" s="68" t="str">
        <f t="shared" si="5"/>
        <v>Lao động phổ thông</v>
      </c>
      <c r="C89" s="29" t="s">
        <v>289</v>
      </c>
      <c r="D89" s="22" t="s">
        <v>26</v>
      </c>
      <c r="E89" s="37" t="s">
        <v>122</v>
      </c>
      <c r="F89" s="22"/>
      <c r="G89" s="31">
        <v>46113</v>
      </c>
      <c r="H89" s="22"/>
      <c r="I89" s="22"/>
      <c r="J89" s="43" t="s">
        <v>291</v>
      </c>
      <c r="K89" s="26">
        <v>1978</v>
      </c>
      <c r="L89" s="26"/>
      <c r="M89" s="26"/>
      <c r="N89" s="40" t="s">
        <v>290</v>
      </c>
      <c r="T89" s="16"/>
      <c r="V89" s="16"/>
    </row>
    <row r="90" spans="1:22" hidden="1" x14ac:dyDescent="0.3">
      <c r="A90" s="7">
        <f t="shared" si="4"/>
        <v>88</v>
      </c>
      <c r="B90" s="68" t="str">
        <f t="shared" si="5"/>
        <v>Lái cẩu Liebherr</v>
      </c>
      <c r="C90" s="29" t="s">
        <v>294</v>
      </c>
      <c r="D90" s="22" t="s">
        <v>10</v>
      </c>
      <c r="E90" s="37" t="s">
        <v>122</v>
      </c>
      <c r="F90" s="22"/>
      <c r="G90" s="31">
        <v>46167</v>
      </c>
      <c r="H90" s="22"/>
      <c r="I90" s="22" t="s">
        <v>295</v>
      </c>
      <c r="J90" s="22" t="s">
        <v>296</v>
      </c>
      <c r="K90" s="26">
        <v>1978</v>
      </c>
      <c r="L90" s="26"/>
      <c r="M90" s="26"/>
      <c r="N90" s="42" t="s">
        <v>479</v>
      </c>
    </row>
    <row r="91" spans="1:22" hidden="1" x14ac:dyDescent="0.3">
      <c r="A91" s="7">
        <f t="shared" si="4"/>
        <v>89</v>
      </c>
      <c r="B91" s="68" t="str">
        <f t="shared" si="5"/>
        <v>Lái cẩu Liebherr</v>
      </c>
      <c r="C91" s="29" t="s">
        <v>312</v>
      </c>
      <c r="D91" s="22" t="s">
        <v>10</v>
      </c>
      <c r="E91" s="37" t="s">
        <v>122</v>
      </c>
      <c r="F91" s="22"/>
      <c r="G91" s="31">
        <v>46162</v>
      </c>
      <c r="H91" s="22"/>
      <c r="I91" s="22" t="s">
        <v>295</v>
      </c>
      <c r="J91" s="22" t="s">
        <v>296</v>
      </c>
      <c r="K91" s="26">
        <v>1999</v>
      </c>
      <c r="L91" s="26"/>
      <c r="M91" s="26"/>
      <c r="N91" s="42" t="s">
        <v>313</v>
      </c>
    </row>
    <row r="92" spans="1:22" hidden="1" x14ac:dyDescent="0.3">
      <c r="A92" s="7">
        <f t="shared" si="4"/>
        <v>90</v>
      </c>
      <c r="B92" s="68" t="str">
        <f t="shared" si="5"/>
        <v>Lái cẩu Liebherr -x</v>
      </c>
      <c r="C92" s="29" t="s">
        <v>314</v>
      </c>
      <c r="D92" s="91" t="s">
        <v>365</v>
      </c>
      <c r="E92" s="37" t="s">
        <v>122</v>
      </c>
      <c r="F92" s="22"/>
      <c r="G92" s="31">
        <v>46113</v>
      </c>
      <c r="H92" s="22"/>
      <c r="I92" s="22"/>
      <c r="J92" s="22" t="s">
        <v>507</v>
      </c>
      <c r="K92" s="26">
        <v>1986</v>
      </c>
      <c r="L92" s="26"/>
      <c r="M92" s="26"/>
      <c r="N92" s="42" t="s">
        <v>319</v>
      </c>
    </row>
    <row r="93" spans="1:22" hidden="1" x14ac:dyDescent="0.3">
      <c r="A93" s="7">
        <f t="shared" ref="A93:A101" si="6">A92+1</f>
        <v>91</v>
      </c>
      <c r="B93" s="68" t="str">
        <f t="shared" si="5"/>
        <v>Lái xe ben -x</v>
      </c>
      <c r="C93" s="29" t="s">
        <v>304</v>
      </c>
      <c r="D93" s="92" t="s">
        <v>247</v>
      </c>
      <c r="E93" s="37"/>
      <c r="F93" s="22" t="s">
        <v>38</v>
      </c>
      <c r="G93" s="29"/>
      <c r="H93" s="22"/>
      <c r="I93" s="22"/>
      <c r="J93" s="22" t="s">
        <v>305</v>
      </c>
      <c r="K93" s="26">
        <v>1989</v>
      </c>
      <c r="L93" s="26"/>
      <c r="M93" s="26"/>
      <c r="N93" s="42" t="s">
        <v>306</v>
      </c>
    </row>
    <row r="94" spans="1:22" hidden="1" x14ac:dyDescent="0.3">
      <c r="A94" s="7">
        <f t="shared" si="6"/>
        <v>92</v>
      </c>
      <c r="B94" s="68" t="str">
        <f t="shared" si="5"/>
        <v>Kế toán -x</v>
      </c>
      <c r="C94" s="29" t="s">
        <v>307</v>
      </c>
      <c r="D94" s="92" t="s">
        <v>195</v>
      </c>
      <c r="E94" s="37"/>
      <c r="F94" s="22" t="s">
        <v>38</v>
      </c>
      <c r="G94" s="29"/>
      <c r="H94" s="22"/>
      <c r="I94" s="22"/>
      <c r="J94" s="22"/>
      <c r="K94" s="26">
        <v>2003</v>
      </c>
      <c r="L94" s="26"/>
      <c r="M94" s="26"/>
      <c r="N94" s="42" t="s">
        <v>308</v>
      </c>
    </row>
    <row r="95" spans="1:22" hidden="1" x14ac:dyDescent="0.3">
      <c r="A95" s="7">
        <f t="shared" si="6"/>
        <v>93</v>
      </c>
      <c r="B95" s="68" t="str">
        <f t="shared" si="5"/>
        <v>Bảo vệ -x</v>
      </c>
      <c r="C95" s="29" t="s">
        <v>309</v>
      </c>
      <c r="D95" s="92" t="s">
        <v>115</v>
      </c>
      <c r="E95" s="37"/>
      <c r="F95" s="22" t="s">
        <v>38</v>
      </c>
      <c r="G95" s="29"/>
      <c r="H95" s="22"/>
      <c r="I95" s="22"/>
      <c r="J95" s="22"/>
      <c r="K95" s="26">
        <v>1971</v>
      </c>
      <c r="L95" s="26"/>
      <c r="M95" s="26"/>
      <c r="N95" s="42" t="s">
        <v>310</v>
      </c>
    </row>
    <row r="96" spans="1:22" hidden="1" x14ac:dyDescent="0.3">
      <c r="A96" s="7">
        <f t="shared" si="6"/>
        <v>94</v>
      </c>
      <c r="B96" s="68" t="str">
        <f t="shared" si="5"/>
        <v>Lái xe đầu kéo -x</v>
      </c>
      <c r="C96" s="29" t="s">
        <v>315</v>
      </c>
      <c r="D96" s="92" t="s">
        <v>300</v>
      </c>
      <c r="E96" s="37"/>
      <c r="F96" s="22" t="s">
        <v>38</v>
      </c>
      <c r="G96" s="29"/>
      <c r="H96" s="22"/>
      <c r="I96" s="22"/>
      <c r="J96" s="22" t="s">
        <v>317</v>
      </c>
      <c r="K96" s="26">
        <v>1993</v>
      </c>
      <c r="L96" s="26"/>
      <c r="M96" s="26"/>
      <c r="N96" s="42" t="s">
        <v>316</v>
      </c>
    </row>
    <row r="97" spans="1:20" hidden="1" x14ac:dyDescent="0.3">
      <c r="A97" s="7">
        <f t="shared" si="6"/>
        <v>95</v>
      </c>
      <c r="B97" s="68" t="str">
        <f t="shared" si="5"/>
        <v>Điều độ</v>
      </c>
      <c r="C97" s="29" t="s">
        <v>323</v>
      </c>
      <c r="D97" s="22" t="s">
        <v>98</v>
      </c>
      <c r="E97" s="37" t="s">
        <v>122</v>
      </c>
      <c r="F97" s="22"/>
      <c r="G97" s="29"/>
      <c r="H97" s="22"/>
      <c r="I97" s="22"/>
      <c r="J97" s="22"/>
      <c r="K97" s="26"/>
      <c r="L97" s="26"/>
      <c r="M97" s="26"/>
      <c r="N97" s="42" t="s">
        <v>324</v>
      </c>
    </row>
    <row r="98" spans="1:20" hidden="1" x14ac:dyDescent="0.3">
      <c r="A98" s="7">
        <f t="shared" si="6"/>
        <v>96</v>
      </c>
      <c r="B98" s="68" t="str">
        <f t="shared" si="5"/>
        <v>Điều độ</v>
      </c>
      <c r="C98" s="29" t="s">
        <v>325</v>
      </c>
      <c r="D98" s="22" t="s">
        <v>98</v>
      </c>
      <c r="E98" s="37" t="s">
        <v>122</v>
      </c>
      <c r="F98" s="22"/>
      <c r="G98" s="29"/>
      <c r="H98" s="22"/>
      <c r="I98" s="22"/>
      <c r="J98" s="22"/>
      <c r="K98" s="26"/>
      <c r="L98" s="26"/>
      <c r="M98" s="26"/>
      <c r="N98" s="42" t="s">
        <v>326</v>
      </c>
    </row>
    <row r="99" spans="1:20" hidden="1" x14ac:dyDescent="0.3">
      <c r="A99" s="7">
        <f t="shared" si="6"/>
        <v>97</v>
      </c>
      <c r="B99" s="68" t="str">
        <f t="shared" si="5"/>
        <v>Điều độ</v>
      </c>
      <c r="C99" s="29" t="s">
        <v>327</v>
      </c>
      <c r="D99" s="22" t="s">
        <v>98</v>
      </c>
      <c r="E99" s="37" t="s">
        <v>122</v>
      </c>
      <c r="F99" s="22"/>
      <c r="G99" s="29"/>
      <c r="H99" s="22"/>
      <c r="I99" s="22"/>
      <c r="J99" s="22"/>
      <c r="K99" s="26"/>
      <c r="L99" s="26"/>
      <c r="M99" s="26"/>
      <c r="N99" s="42" t="s">
        <v>328</v>
      </c>
    </row>
    <row r="100" spans="1:20" hidden="1" x14ac:dyDescent="0.3">
      <c r="A100" s="114">
        <f t="shared" si="6"/>
        <v>98</v>
      </c>
      <c r="B100" s="115" t="str">
        <f t="shared" si="5"/>
        <v>Lái cẩu Liebherr -x</v>
      </c>
      <c r="C100" s="29" t="s">
        <v>329</v>
      </c>
      <c r="D100" s="91" t="s">
        <v>365</v>
      </c>
      <c r="E100" s="89"/>
      <c r="F100" s="22" t="s">
        <v>38</v>
      </c>
      <c r="G100" s="31"/>
      <c r="H100" s="22"/>
      <c r="I100" s="22" t="s">
        <v>295</v>
      </c>
      <c r="J100" s="22" t="s">
        <v>440</v>
      </c>
      <c r="K100" s="118">
        <v>1998</v>
      </c>
      <c r="L100" s="29"/>
      <c r="M100" s="29"/>
      <c r="N100" s="116" t="s">
        <v>330</v>
      </c>
      <c r="O100" s="16"/>
    </row>
    <row r="101" spans="1:20" hidden="1" x14ac:dyDescent="0.3">
      <c r="A101" s="114">
        <f t="shared" si="6"/>
        <v>99</v>
      </c>
      <c r="B101" s="115" t="str">
        <f t="shared" si="5"/>
        <v>Lái xe đầu kéo -x</v>
      </c>
      <c r="C101" s="29" t="s">
        <v>333</v>
      </c>
      <c r="D101" s="92" t="s">
        <v>300</v>
      </c>
      <c r="E101" s="89"/>
      <c r="F101" s="22"/>
      <c r="G101" s="31"/>
      <c r="H101" s="22"/>
      <c r="I101" s="22"/>
      <c r="J101" s="22" t="s">
        <v>317</v>
      </c>
      <c r="K101" s="118">
        <v>1993</v>
      </c>
      <c r="L101" s="29"/>
      <c r="M101" s="29"/>
      <c r="N101" s="116" t="s">
        <v>334</v>
      </c>
      <c r="O101" s="16"/>
      <c r="T101" s="16"/>
    </row>
    <row r="102" spans="1:20" hidden="1" x14ac:dyDescent="0.3">
      <c r="A102" s="7">
        <f t="shared" ref="A102:A160" si="7">A101+1</f>
        <v>100</v>
      </c>
      <c r="B102" s="68" t="str">
        <f t="shared" si="5"/>
        <v>Lao động phổ thông -x</v>
      </c>
      <c r="C102" s="29" t="s">
        <v>335</v>
      </c>
      <c r="D102" s="92" t="s">
        <v>337</v>
      </c>
      <c r="E102" s="37"/>
      <c r="F102" s="22" t="s">
        <v>38</v>
      </c>
      <c r="G102" s="29"/>
      <c r="H102" s="22"/>
      <c r="I102" s="22"/>
      <c r="J102" s="22"/>
      <c r="K102" s="88">
        <v>1975</v>
      </c>
      <c r="L102" s="26"/>
      <c r="M102" s="26"/>
      <c r="N102" s="42" t="s">
        <v>336</v>
      </c>
      <c r="T102" s="16"/>
    </row>
    <row r="103" spans="1:20" hidden="1" x14ac:dyDescent="0.3">
      <c r="A103" s="7">
        <f t="shared" si="7"/>
        <v>101</v>
      </c>
      <c r="B103" s="68" t="str">
        <f t="shared" si="5"/>
        <v>Tạp vụ -x</v>
      </c>
      <c r="C103" s="29" t="s">
        <v>338</v>
      </c>
      <c r="D103" s="92" t="s">
        <v>118</v>
      </c>
      <c r="E103" s="37"/>
      <c r="F103" s="22" t="s">
        <v>38</v>
      </c>
      <c r="G103" s="29"/>
      <c r="H103" s="22"/>
      <c r="I103" s="22"/>
      <c r="J103" s="22"/>
      <c r="K103" s="88">
        <v>1994</v>
      </c>
      <c r="L103" s="26"/>
      <c r="M103" s="26"/>
      <c r="N103" s="42" t="s">
        <v>339</v>
      </c>
    </row>
    <row r="104" spans="1:20" hidden="1" x14ac:dyDescent="0.3">
      <c r="A104" s="7">
        <f t="shared" si="7"/>
        <v>102</v>
      </c>
      <c r="B104" s="68" t="str">
        <f t="shared" si="5"/>
        <v>Tạp vụ -x</v>
      </c>
      <c r="C104" s="29" t="s">
        <v>340</v>
      </c>
      <c r="D104" s="92" t="s">
        <v>118</v>
      </c>
      <c r="E104" s="37"/>
      <c r="F104" s="22" t="s">
        <v>38</v>
      </c>
      <c r="G104" s="29"/>
      <c r="H104" s="22"/>
      <c r="I104" s="22"/>
      <c r="J104" s="22" t="s">
        <v>26</v>
      </c>
      <c r="K104" s="88">
        <v>1990</v>
      </c>
      <c r="L104" s="26"/>
      <c r="M104" s="26"/>
      <c r="N104" s="42" t="s">
        <v>341</v>
      </c>
    </row>
    <row r="105" spans="1:20" hidden="1" x14ac:dyDescent="0.3">
      <c r="A105" s="7">
        <f t="shared" si="7"/>
        <v>103</v>
      </c>
      <c r="B105" s="68" t="str">
        <f t="shared" si="5"/>
        <v>Lao động phổ thông -x</v>
      </c>
      <c r="C105" s="29" t="s">
        <v>342</v>
      </c>
      <c r="D105" s="92" t="s">
        <v>337</v>
      </c>
      <c r="E105" s="37"/>
      <c r="F105" s="22" t="s">
        <v>38</v>
      </c>
      <c r="G105" s="29"/>
      <c r="H105" s="22"/>
      <c r="I105" s="22"/>
      <c r="J105" s="22"/>
      <c r="K105" s="88">
        <v>1980</v>
      </c>
      <c r="L105" s="26"/>
      <c r="M105" s="26"/>
      <c r="N105" s="42" t="s">
        <v>343</v>
      </c>
    </row>
    <row r="106" spans="1:20" hidden="1" x14ac:dyDescent="0.3">
      <c r="A106" s="114">
        <f t="shared" si="7"/>
        <v>104</v>
      </c>
      <c r="B106" s="115" t="str">
        <f t="shared" si="5"/>
        <v>Lao động phổ thông</v>
      </c>
      <c r="C106" s="29" t="s">
        <v>344</v>
      </c>
      <c r="D106" s="22" t="s">
        <v>26</v>
      </c>
      <c r="E106" s="89" t="s">
        <v>122</v>
      </c>
      <c r="F106" s="22"/>
      <c r="G106" s="31">
        <v>46113</v>
      </c>
      <c r="H106" s="22"/>
      <c r="I106" s="22"/>
      <c r="J106" s="22"/>
      <c r="K106" s="118">
        <v>1982</v>
      </c>
      <c r="L106" s="29"/>
      <c r="M106" s="29"/>
      <c r="N106" s="116" t="s">
        <v>345</v>
      </c>
      <c r="O106" s="16"/>
    </row>
    <row r="107" spans="1:20" hidden="1" x14ac:dyDescent="0.3">
      <c r="A107" s="114">
        <f t="shared" si="7"/>
        <v>105</v>
      </c>
      <c r="B107" s="115"/>
      <c r="C107" s="22" t="s">
        <v>346</v>
      </c>
      <c r="D107" s="22" t="s">
        <v>26</v>
      </c>
      <c r="E107" s="89" t="s">
        <v>122</v>
      </c>
      <c r="F107" s="22"/>
      <c r="G107" s="119" t="s">
        <v>348</v>
      </c>
      <c r="H107" s="22"/>
      <c r="I107" s="22"/>
      <c r="J107" s="22" t="s">
        <v>347</v>
      </c>
      <c r="K107" s="120">
        <v>1985</v>
      </c>
      <c r="L107" s="120"/>
      <c r="M107" s="120"/>
      <c r="N107" s="119" t="s">
        <v>349</v>
      </c>
      <c r="O107" s="16"/>
      <c r="T107" s="16"/>
    </row>
    <row r="108" spans="1:20" hidden="1" x14ac:dyDescent="0.3">
      <c r="A108" s="114">
        <f t="shared" si="7"/>
        <v>106</v>
      </c>
      <c r="B108" s="115"/>
      <c r="C108" s="22" t="s">
        <v>350</v>
      </c>
      <c r="D108" s="91" t="s">
        <v>337</v>
      </c>
      <c r="E108" s="89"/>
      <c r="F108" s="22"/>
      <c r="G108" s="119"/>
      <c r="H108" s="22"/>
      <c r="I108" s="22"/>
      <c r="J108" s="22" t="s">
        <v>359</v>
      </c>
      <c r="K108" s="120">
        <v>1980</v>
      </c>
      <c r="L108" s="22"/>
      <c r="M108" s="22"/>
      <c r="N108" s="119" t="s">
        <v>351</v>
      </c>
      <c r="O108" s="16"/>
      <c r="T108" s="16"/>
    </row>
    <row r="109" spans="1:20" hidden="1" x14ac:dyDescent="0.3">
      <c r="A109" s="114">
        <f t="shared" si="7"/>
        <v>107</v>
      </c>
      <c r="B109" s="115"/>
      <c r="C109" s="22" t="s">
        <v>354</v>
      </c>
      <c r="D109" s="22" t="s">
        <v>26</v>
      </c>
      <c r="E109" s="89" t="s">
        <v>122</v>
      </c>
      <c r="F109" s="22"/>
      <c r="G109" s="119" t="s">
        <v>348</v>
      </c>
      <c r="H109" s="22"/>
      <c r="I109" s="22"/>
      <c r="J109" s="22"/>
      <c r="K109" s="120" t="s">
        <v>352</v>
      </c>
      <c r="L109" s="22"/>
      <c r="M109" s="22"/>
      <c r="N109" s="119" t="s">
        <v>353</v>
      </c>
      <c r="O109" s="16"/>
      <c r="T109" s="16"/>
    </row>
    <row r="110" spans="1:20" hidden="1" x14ac:dyDescent="0.3">
      <c r="A110" s="114">
        <f t="shared" si="7"/>
        <v>108</v>
      </c>
      <c r="B110" s="115"/>
      <c r="C110" s="22"/>
      <c r="D110" s="22"/>
      <c r="E110" s="89"/>
      <c r="F110" s="22"/>
      <c r="G110" s="119"/>
      <c r="H110" s="22"/>
      <c r="I110" s="22"/>
      <c r="J110" s="22"/>
      <c r="K110" s="120"/>
      <c r="L110" s="22"/>
      <c r="M110" s="22"/>
      <c r="N110" s="119"/>
      <c r="O110" s="16"/>
      <c r="T110" s="16"/>
    </row>
    <row r="111" spans="1:20" hidden="1" x14ac:dyDescent="0.3">
      <c r="A111" s="114">
        <f t="shared" si="7"/>
        <v>109</v>
      </c>
      <c r="B111" s="115"/>
      <c r="C111" s="22"/>
      <c r="D111" s="22"/>
      <c r="E111" s="89"/>
      <c r="F111" s="22"/>
      <c r="G111" s="119"/>
      <c r="H111" s="22"/>
      <c r="I111" s="22"/>
      <c r="J111" s="22"/>
      <c r="K111" s="120"/>
      <c r="L111" s="22"/>
      <c r="M111" s="22"/>
      <c r="N111" s="119"/>
      <c r="O111" s="16"/>
      <c r="T111" s="16"/>
    </row>
    <row r="112" spans="1:20" hidden="1" x14ac:dyDescent="0.3">
      <c r="A112" s="114">
        <f t="shared" si="7"/>
        <v>110</v>
      </c>
      <c r="B112" s="115"/>
      <c r="C112" s="22" t="s">
        <v>521</v>
      </c>
      <c r="D112" s="22" t="s">
        <v>26</v>
      </c>
      <c r="E112" s="89" t="s">
        <v>122</v>
      </c>
      <c r="F112" s="22"/>
      <c r="G112" s="119" t="s">
        <v>348</v>
      </c>
      <c r="H112" s="22"/>
      <c r="I112" s="22"/>
      <c r="J112" s="22"/>
      <c r="K112" s="120" t="s">
        <v>357</v>
      </c>
      <c r="L112" s="22"/>
      <c r="M112" s="22"/>
      <c r="N112" s="119" t="s">
        <v>358</v>
      </c>
      <c r="O112" s="16"/>
      <c r="T112" s="16"/>
    </row>
    <row r="113" spans="1:20" hidden="1" x14ac:dyDescent="0.3">
      <c r="A113" s="114">
        <f t="shared" si="7"/>
        <v>111</v>
      </c>
      <c r="B113" s="115"/>
      <c r="C113" s="22" t="s">
        <v>360</v>
      </c>
      <c r="D113" s="92" t="s">
        <v>247</v>
      </c>
      <c r="E113" s="89"/>
      <c r="F113" s="22" t="s">
        <v>38</v>
      </c>
      <c r="G113" s="119"/>
      <c r="H113" s="22"/>
      <c r="I113" s="22"/>
      <c r="J113" s="89" t="s">
        <v>363</v>
      </c>
      <c r="K113" s="120" t="s">
        <v>361</v>
      </c>
      <c r="L113" s="22"/>
      <c r="M113" s="22"/>
      <c r="N113" s="119" t="s">
        <v>362</v>
      </c>
      <c r="O113" s="16"/>
      <c r="T113" s="16"/>
    </row>
    <row r="114" spans="1:20" hidden="1" x14ac:dyDescent="0.3">
      <c r="A114" s="114">
        <f t="shared" si="7"/>
        <v>112</v>
      </c>
      <c r="B114" s="115"/>
      <c r="C114" s="22" t="s">
        <v>375</v>
      </c>
      <c r="D114" s="91" t="s">
        <v>247</v>
      </c>
      <c r="E114" s="89"/>
      <c r="F114" s="22" t="s">
        <v>38</v>
      </c>
      <c r="G114" s="119"/>
      <c r="H114" s="22"/>
      <c r="I114" s="22"/>
      <c r="J114" s="22"/>
      <c r="K114" s="120" t="s">
        <v>376</v>
      </c>
      <c r="L114" s="22"/>
      <c r="M114" s="22"/>
      <c r="N114" s="119" t="s">
        <v>377</v>
      </c>
      <c r="O114" s="16"/>
      <c r="T114" s="16"/>
    </row>
    <row r="115" spans="1:20" hidden="1" x14ac:dyDescent="0.3">
      <c r="A115" s="114">
        <f t="shared" si="7"/>
        <v>113</v>
      </c>
      <c r="B115" s="115"/>
      <c r="C115" s="22" t="s">
        <v>378</v>
      </c>
      <c r="D115" s="22" t="s">
        <v>26</v>
      </c>
      <c r="E115" s="89" t="s">
        <v>122</v>
      </c>
      <c r="F115" s="22"/>
      <c r="G115" s="119" t="s">
        <v>348</v>
      </c>
      <c r="H115" s="22"/>
      <c r="I115" s="22"/>
      <c r="J115" s="22"/>
      <c r="K115" s="120" t="s">
        <v>355</v>
      </c>
      <c r="L115" s="22"/>
      <c r="M115" s="22"/>
      <c r="N115" s="119" t="s">
        <v>379</v>
      </c>
      <c r="O115" s="16"/>
      <c r="T115" s="16"/>
    </row>
    <row r="116" spans="1:20" ht="27.6" hidden="1" x14ac:dyDescent="0.3">
      <c r="A116" s="114">
        <f t="shared" si="7"/>
        <v>114</v>
      </c>
      <c r="B116" s="115"/>
      <c r="C116" s="22" t="s">
        <v>380</v>
      </c>
      <c r="D116" s="22" t="s">
        <v>26</v>
      </c>
      <c r="E116" s="89" t="s">
        <v>122</v>
      </c>
      <c r="F116" s="22"/>
      <c r="G116" s="119" t="s">
        <v>348</v>
      </c>
      <c r="H116" s="22"/>
      <c r="I116" s="22"/>
      <c r="J116" s="43" t="s">
        <v>381</v>
      </c>
      <c r="K116" s="120" t="s">
        <v>356</v>
      </c>
      <c r="L116" s="22"/>
      <c r="M116" s="22"/>
      <c r="N116" s="119" t="s">
        <v>382</v>
      </c>
      <c r="O116" s="16"/>
      <c r="T116" s="16"/>
    </row>
    <row r="117" spans="1:20" x14ac:dyDescent="0.3">
      <c r="A117" s="7">
        <f t="shared" si="7"/>
        <v>115</v>
      </c>
      <c r="B117" s="68"/>
      <c r="C117" s="22" t="s">
        <v>383</v>
      </c>
      <c r="D117" s="91" t="s">
        <v>299</v>
      </c>
      <c r="E117" s="37"/>
      <c r="F117" s="22" t="s">
        <v>38</v>
      </c>
      <c r="G117" s="84"/>
      <c r="H117" s="22"/>
      <c r="I117" s="22"/>
      <c r="J117" s="22" t="s">
        <v>13</v>
      </c>
      <c r="K117" s="86" t="s">
        <v>384</v>
      </c>
      <c r="L117" s="27"/>
      <c r="M117" s="27"/>
      <c r="N117" s="87" t="s">
        <v>385</v>
      </c>
      <c r="T117" s="16"/>
    </row>
    <row r="118" spans="1:20" hidden="1" x14ac:dyDescent="0.3">
      <c r="A118" s="7">
        <f t="shared" si="7"/>
        <v>116</v>
      </c>
      <c r="B118" s="68"/>
      <c r="C118" s="22" t="s">
        <v>386</v>
      </c>
      <c r="D118" s="22" t="s">
        <v>26</v>
      </c>
      <c r="E118" s="37" t="s">
        <v>122</v>
      </c>
      <c r="F118" s="22"/>
      <c r="G118" s="84" t="s">
        <v>348</v>
      </c>
      <c r="H118" s="22"/>
      <c r="I118" s="89" t="s">
        <v>387</v>
      </c>
      <c r="J118" s="22"/>
      <c r="K118" s="86" t="s">
        <v>355</v>
      </c>
      <c r="L118" s="27"/>
      <c r="M118" s="27"/>
      <c r="N118" s="87" t="s">
        <v>388</v>
      </c>
    </row>
    <row r="119" spans="1:20" hidden="1" x14ac:dyDescent="0.3">
      <c r="A119" s="7">
        <f t="shared" si="7"/>
        <v>117</v>
      </c>
      <c r="B119" s="68"/>
      <c r="C119" s="22" t="s">
        <v>396</v>
      </c>
      <c r="D119" s="22" t="s">
        <v>26</v>
      </c>
      <c r="E119" s="37" t="s">
        <v>122</v>
      </c>
      <c r="F119" s="22"/>
      <c r="G119" s="84" t="s">
        <v>348</v>
      </c>
      <c r="H119" s="22"/>
      <c r="I119" s="22"/>
      <c r="J119" s="22"/>
      <c r="K119" s="86" t="s">
        <v>356</v>
      </c>
      <c r="L119" s="27"/>
      <c r="M119" s="27"/>
      <c r="N119" s="87" t="s">
        <v>395</v>
      </c>
    </row>
    <row r="120" spans="1:20" ht="27.6" x14ac:dyDescent="0.3">
      <c r="A120" s="7">
        <f t="shared" si="7"/>
        <v>118</v>
      </c>
      <c r="B120" s="68"/>
      <c r="C120" s="22" t="s">
        <v>398</v>
      </c>
      <c r="D120" s="91" t="s">
        <v>299</v>
      </c>
      <c r="E120" s="37"/>
      <c r="F120" s="22" t="s">
        <v>38</v>
      </c>
      <c r="G120" s="84" t="s">
        <v>399</v>
      </c>
      <c r="H120" s="22"/>
      <c r="I120" s="22" t="s">
        <v>401</v>
      </c>
      <c r="J120" s="43" t="s">
        <v>426</v>
      </c>
      <c r="K120" s="86" t="s">
        <v>400</v>
      </c>
      <c r="L120" s="27"/>
      <c r="M120" s="27"/>
      <c r="N120" s="87" t="s">
        <v>402</v>
      </c>
    </row>
    <row r="121" spans="1:20" hidden="1" x14ac:dyDescent="0.3">
      <c r="A121" s="7">
        <f t="shared" si="7"/>
        <v>119</v>
      </c>
      <c r="B121" s="68"/>
      <c r="C121" s="22"/>
      <c r="D121" s="22"/>
      <c r="E121" s="37"/>
      <c r="F121" s="22"/>
      <c r="G121" s="84"/>
      <c r="H121" s="22"/>
      <c r="I121" s="22"/>
      <c r="J121" s="22"/>
      <c r="K121" s="86"/>
      <c r="L121" s="27"/>
      <c r="M121" s="27"/>
      <c r="N121" s="87"/>
    </row>
    <row r="122" spans="1:20" ht="27.6" hidden="1" x14ac:dyDescent="0.3">
      <c r="A122" s="7">
        <f t="shared" si="7"/>
        <v>120</v>
      </c>
      <c r="B122" s="68"/>
      <c r="C122" s="22" t="s">
        <v>407</v>
      </c>
      <c r="D122" s="91" t="s">
        <v>300</v>
      </c>
      <c r="E122" s="37"/>
      <c r="F122" s="22" t="s">
        <v>38</v>
      </c>
      <c r="G122" s="84"/>
      <c r="H122" s="22"/>
      <c r="I122" s="22"/>
      <c r="J122" s="43" t="s">
        <v>409</v>
      </c>
      <c r="K122" s="86" t="s">
        <v>403</v>
      </c>
      <c r="L122" s="27"/>
      <c r="M122" s="27"/>
      <c r="N122" s="87" t="s">
        <v>408</v>
      </c>
    </row>
    <row r="123" spans="1:20" ht="27.6" hidden="1" x14ac:dyDescent="0.3">
      <c r="A123" s="7">
        <f t="shared" si="7"/>
        <v>121</v>
      </c>
      <c r="B123" s="68"/>
      <c r="C123" s="22" t="s">
        <v>410</v>
      </c>
      <c r="D123" s="91" t="s">
        <v>371</v>
      </c>
      <c r="E123" s="37"/>
      <c r="F123" s="22" t="s">
        <v>38</v>
      </c>
      <c r="G123" s="84"/>
      <c r="H123" s="22"/>
      <c r="I123" s="22"/>
      <c r="J123" s="43" t="s">
        <v>411</v>
      </c>
      <c r="K123" s="86" t="s">
        <v>412</v>
      </c>
      <c r="L123" s="27"/>
      <c r="M123" s="27"/>
      <c r="N123" s="87" t="s">
        <v>413</v>
      </c>
    </row>
    <row r="124" spans="1:20" hidden="1" x14ac:dyDescent="0.3">
      <c r="A124" s="7">
        <f t="shared" si="7"/>
        <v>122</v>
      </c>
      <c r="B124" s="68"/>
      <c r="C124" s="22" t="s">
        <v>414</v>
      </c>
      <c r="D124" s="91" t="s">
        <v>300</v>
      </c>
      <c r="E124" s="37"/>
      <c r="F124" s="22"/>
      <c r="G124" s="84"/>
      <c r="H124" s="22"/>
      <c r="I124" s="22"/>
      <c r="J124" s="22" t="s">
        <v>417</v>
      </c>
      <c r="K124" s="86" t="s">
        <v>415</v>
      </c>
      <c r="L124" s="27"/>
      <c r="M124" s="27"/>
      <c r="N124" s="87" t="s">
        <v>416</v>
      </c>
    </row>
    <row r="125" spans="1:20" hidden="1" x14ac:dyDescent="0.3">
      <c r="A125" s="7">
        <f t="shared" si="7"/>
        <v>123</v>
      </c>
      <c r="B125" s="68"/>
      <c r="C125" s="22" t="s">
        <v>418</v>
      </c>
      <c r="D125" s="91" t="s">
        <v>300</v>
      </c>
      <c r="E125" s="37"/>
      <c r="F125" s="22"/>
      <c r="G125" s="84"/>
      <c r="H125" s="22"/>
      <c r="I125" s="22"/>
      <c r="J125" s="22" t="str">
        <f>J124</f>
        <v>Lưu hồ sơ để liên lạc, chưa chắc chắn</v>
      </c>
      <c r="K125" s="86" t="s">
        <v>419</v>
      </c>
      <c r="L125" s="27"/>
      <c r="M125" s="27"/>
      <c r="N125" s="87" t="s">
        <v>420</v>
      </c>
    </row>
    <row r="126" spans="1:20" ht="27.6" x14ac:dyDescent="0.3">
      <c r="A126" s="7">
        <f t="shared" si="7"/>
        <v>124</v>
      </c>
      <c r="B126" s="68"/>
      <c r="C126" s="22" t="s">
        <v>422</v>
      </c>
      <c r="D126" s="91" t="s">
        <v>299</v>
      </c>
      <c r="E126" s="37"/>
      <c r="F126" s="22" t="s">
        <v>38</v>
      </c>
      <c r="G126" s="84"/>
      <c r="H126" s="22"/>
      <c r="I126" s="22"/>
      <c r="J126" s="43" t="s">
        <v>424</v>
      </c>
      <c r="K126" s="86" t="s">
        <v>423</v>
      </c>
      <c r="L126" s="27"/>
      <c r="M126" s="27"/>
      <c r="N126" s="146" t="s">
        <v>425</v>
      </c>
    </row>
    <row r="127" spans="1:20" hidden="1" x14ac:dyDescent="0.3">
      <c r="A127" s="7">
        <f t="shared" si="7"/>
        <v>125</v>
      </c>
      <c r="B127" s="68"/>
      <c r="C127" s="22" t="s">
        <v>427</v>
      </c>
      <c r="D127" s="91" t="s">
        <v>300</v>
      </c>
      <c r="E127" s="37"/>
      <c r="F127" s="22" t="s">
        <v>38</v>
      </c>
      <c r="G127" s="84"/>
      <c r="H127" s="22"/>
      <c r="I127" s="22" t="s">
        <v>428</v>
      </c>
      <c r="J127" s="22"/>
      <c r="K127" s="86" t="s">
        <v>429</v>
      </c>
      <c r="L127" s="27"/>
      <c r="M127" s="27"/>
      <c r="N127" s="87" t="s">
        <v>430</v>
      </c>
    </row>
    <row r="128" spans="1:20" hidden="1" x14ac:dyDescent="0.3">
      <c r="A128" s="7">
        <f t="shared" si="7"/>
        <v>126</v>
      </c>
      <c r="B128" s="68"/>
      <c r="C128" s="22" t="s">
        <v>431</v>
      </c>
      <c r="D128" s="91" t="s">
        <v>140</v>
      </c>
      <c r="E128" s="37"/>
      <c r="F128" s="22" t="s">
        <v>38</v>
      </c>
      <c r="G128" s="84"/>
      <c r="H128" s="22"/>
      <c r="I128" s="22"/>
      <c r="J128" s="22" t="s">
        <v>433</v>
      </c>
      <c r="K128" s="86" t="s">
        <v>357</v>
      </c>
      <c r="L128" s="27"/>
      <c r="M128" s="27"/>
      <c r="N128" s="87" t="s">
        <v>432</v>
      </c>
    </row>
    <row r="129" spans="1:14" hidden="1" x14ac:dyDescent="0.3">
      <c r="A129" s="7">
        <f t="shared" si="7"/>
        <v>127</v>
      </c>
      <c r="B129" s="68"/>
      <c r="C129" s="22" t="s">
        <v>434</v>
      </c>
      <c r="D129" s="91" t="s">
        <v>300</v>
      </c>
      <c r="E129" s="37"/>
      <c r="F129" s="22" t="s">
        <v>38</v>
      </c>
      <c r="G129" s="84"/>
      <c r="H129" s="22"/>
      <c r="I129" s="22"/>
      <c r="J129" s="22"/>
      <c r="K129" s="86" t="s">
        <v>429</v>
      </c>
      <c r="L129" s="27"/>
      <c r="M129" s="27"/>
      <c r="N129" s="87" t="s">
        <v>435</v>
      </c>
    </row>
    <row r="130" spans="1:14" hidden="1" x14ac:dyDescent="0.3">
      <c r="A130" s="7">
        <f t="shared" si="7"/>
        <v>128</v>
      </c>
      <c r="B130" s="68"/>
      <c r="C130" s="22" t="s">
        <v>439</v>
      </c>
      <c r="D130" s="22" t="s">
        <v>26</v>
      </c>
      <c r="E130" s="37" t="s">
        <v>122</v>
      </c>
      <c r="F130" s="22"/>
      <c r="G130" s="84"/>
      <c r="H130" s="22"/>
      <c r="I130" s="22"/>
      <c r="J130" s="22" t="s">
        <v>436</v>
      </c>
      <c r="K130" s="86" t="s">
        <v>437</v>
      </c>
      <c r="L130" s="27"/>
      <c r="M130" s="27"/>
      <c r="N130" s="87" t="s">
        <v>438</v>
      </c>
    </row>
    <row r="131" spans="1:14" x14ac:dyDescent="0.3">
      <c r="A131" s="7">
        <f t="shared" si="7"/>
        <v>129</v>
      </c>
      <c r="B131" s="68"/>
      <c r="C131" s="22" t="s">
        <v>441</v>
      </c>
      <c r="D131" s="91" t="s">
        <v>299</v>
      </c>
      <c r="E131" s="37"/>
      <c r="F131" s="22"/>
      <c r="G131" s="84"/>
      <c r="H131" s="22"/>
      <c r="I131" s="22"/>
      <c r="J131" s="22"/>
      <c r="K131" s="86" t="s">
        <v>442</v>
      </c>
      <c r="L131" s="27"/>
      <c r="M131" s="27"/>
      <c r="N131" s="87" t="s">
        <v>443</v>
      </c>
    </row>
    <row r="132" spans="1:14" hidden="1" x14ac:dyDescent="0.3">
      <c r="A132" s="7">
        <f t="shared" si="7"/>
        <v>130</v>
      </c>
      <c r="B132" s="68"/>
      <c r="C132" s="22" t="s">
        <v>444</v>
      </c>
      <c r="D132" s="22"/>
      <c r="E132" s="37"/>
      <c r="F132" s="22"/>
      <c r="G132" s="84"/>
      <c r="H132" s="22"/>
      <c r="I132" s="89" t="s">
        <v>445</v>
      </c>
      <c r="J132" s="22"/>
      <c r="K132" s="86" t="s">
        <v>446</v>
      </c>
      <c r="L132" s="27"/>
      <c r="M132" s="27"/>
      <c r="N132" s="87" t="s">
        <v>447</v>
      </c>
    </row>
    <row r="133" spans="1:14" hidden="1" x14ac:dyDescent="0.3">
      <c r="A133" s="7">
        <f t="shared" si="7"/>
        <v>131</v>
      </c>
      <c r="B133" s="68"/>
      <c r="C133" s="22" t="s">
        <v>448</v>
      </c>
      <c r="D133" s="91" t="s">
        <v>337</v>
      </c>
      <c r="E133" s="37"/>
      <c r="F133" s="22"/>
      <c r="G133" s="84"/>
      <c r="H133" s="22"/>
      <c r="I133" s="22"/>
      <c r="J133" s="22"/>
      <c r="K133" s="86" t="s">
        <v>415</v>
      </c>
      <c r="L133" s="27"/>
      <c r="M133" s="27"/>
      <c r="N133" s="87" t="s">
        <v>449</v>
      </c>
    </row>
    <row r="134" spans="1:14" hidden="1" x14ac:dyDescent="0.3">
      <c r="A134" s="7">
        <f t="shared" si="7"/>
        <v>132</v>
      </c>
      <c r="B134" s="68"/>
      <c r="C134" s="22" t="s">
        <v>450</v>
      </c>
      <c r="D134" s="91" t="s">
        <v>337</v>
      </c>
      <c r="E134" s="37"/>
      <c r="F134" s="22"/>
      <c r="G134" s="84"/>
      <c r="H134" s="22"/>
      <c r="I134" s="22"/>
      <c r="J134" s="22"/>
      <c r="K134" s="86" t="s">
        <v>357</v>
      </c>
      <c r="L134" s="27"/>
      <c r="M134" s="27"/>
      <c r="N134" s="87" t="s">
        <v>451</v>
      </c>
    </row>
    <row r="135" spans="1:14" hidden="1" x14ac:dyDescent="0.3">
      <c r="A135" s="7">
        <f t="shared" si="7"/>
        <v>133</v>
      </c>
      <c r="B135" s="68"/>
      <c r="C135" s="22" t="s">
        <v>452</v>
      </c>
      <c r="D135" s="22" t="s">
        <v>26</v>
      </c>
      <c r="E135" s="37" t="s">
        <v>122</v>
      </c>
      <c r="F135" s="22"/>
      <c r="G135" s="84"/>
      <c r="H135" s="22"/>
      <c r="I135" s="22"/>
      <c r="J135" s="22"/>
      <c r="K135" s="86" t="s">
        <v>442</v>
      </c>
      <c r="L135" s="27"/>
      <c r="M135" s="27"/>
      <c r="N135" s="87" t="s">
        <v>453</v>
      </c>
    </row>
    <row r="136" spans="1:14" hidden="1" x14ac:dyDescent="0.3">
      <c r="A136" s="7">
        <f t="shared" si="7"/>
        <v>134</v>
      </c>
      <c r="B136" s="68"/>
      <c r="C136" s="22" t="s">
        <v>454</v>
      </c>
      <c r="D136" s="22" t="s">
        <v>26</v>
      </c>
      <c r="E136" s="37" t="s">
        <v>122</v>
      </c>
      <c r="F136" s="22"/>
      <c r="G136" s="84"/>
      <c r="H136" s="22"/>
      <c r="I136" s="22"/>
      <c r="J136" s="22"/>
      <c r="K136" s="86" t="s">
        <v>455</v>
      </c>
      <c r="L136" s="27"/>
      <c r="M136" s="27"/>
      <c r="N136" s="87" t="s">
        <v>456</v>
      </c>
    </row>
    <row r="137" spans="1:14" hidden="1" x14ac:dyDescent="0.3">
      <c r="A137" s="7">
        <f t="shared" si="7"/>
        <v>135</v>
      </c>
      <c r="B137" s="68"/>
      <c r="C137" s="22" t="s">
        <v>457</v>
      </c>
      <c r="D137" s="91" t="s">
        <v>337</v>
      </c>
      <c r="E137" s="37"/>
      <c r="F137" s="22"/>
      <c r="G137" s="84"/>
      <c r="H137" s="22"/>
      <c r="I137" s="22"/>
      <c r="J137" s="22"/>
      <c r="K137" s="86" t="s">
        <v>355</v>
      </c>
      <c r="L137" s="27"/>
      <c r="M137" s="27"/>
      <c r="N137" s="87" t="s">
        <v>458</v>
      </c>
    </row>
    <row r="138" spans="1:14" hidden="1" x14ac:dyDescent="0.3">
      <c r="A138" s="7">
        <f t="shared" si="7"/>
        <v>136</v>
      </c>
      <c r="B138" s="68"/>
      <c r="C138" s="22" t="s">
        <v>459</v>
      </c>
      <c r="D138" s="22" t="s">
        <v>26</v>
      </c>
      <c r="E138" s="37" t="s">
        <v>122</v>
      </c>
      <c r="F138" s="22"/>
      <c r="G138" s="84"/>
      <c r="H138" s="22"/>
      <c r="I138" s="22"/>
      <c r="J138" s="22"/>
      <c r="K138" s="86" t="s">
        <v>460</v>
      </c>
      <c r="L138" s="27"/>
      <c r="M138" s="27"/>
      <c r="N138" s="87" t="s">
        <v>461</v>
      </c>
    </row>
    <row r="139" spans="1:14" ht="27.6" hidden="1" x14ac:dyDescent="0.3">
      <c r="A139" s="7">
        <f t="shared" si="7"/>
        <v>137</v>
      </c>
      <c r="B139" s="68"/>
      <c r="C139" s="22" t="s">
        <v>464</v>
      </c>
      <c r="D139" s="91" t="s">
        <v>301</v>
      </c>
      <c r="E139" s="37"/>
      <c r="F139" s="22"/>
      <c r="G139" s="84"/>
      <c r="H139" s="22"/>
      <c r="I139" s="43" t="s">
        <v>467</v>
      </c>
      <c r="J139" s="22" t="s">
        <v>466</v>
      </c>
      <c r="K139" s="86" t="s">
        <v>384</v>
      </c>
      <c r="L139" s="27"/>
      <c r="M139" s="27"/>
      <c r="N139" s="87" t="s">
        <v>465</v>
      </c>
    </row>
    <row r="140" spans="1:14" ht="110.4" hidden="1" x14ac:dyDescent="0.3">
      <c r="A140" s="7">
        <f t="shared" si="7"/>
        <v>138</v>
      </c>
      <c r="B140" s="68"/>
      <c r="C140" s="22" t="s">
        <v>468</v>
      </c>
      <c r="D140" s="22" t="s">
        <v>462</v>
      </c>
      <c r="E140" s="37" t="s">
        <v>122</v>
      </c>
      <c r="F140" s="22"/>
      <c r="G140" s="84"/>
      <c r="H140" s="22"/>
      <c r="I140" s="22" t="s">
        <v>477</v>
      </c>
      <c r="J140" s="43" t="s">
        <v>471</v>
      </c>
      <c r="K140" s="86" t="s">
        <v>429</v>
      </c>
      <c r="L140" s="27"/>
      <c r="M140" s="27"/>
      <c r="N140" s="87" t="s">
        <v>469</v>
      </c>
    </row>
    <row r="141" spans="1:14" ht="124.2" hidden="1" x14ac:dyDescent="0.3">
      <c r="A141" s="7">
        <f t="shared" si="7"/>
        <v>139</v>
      </c>
      <c r="B141" s="68"/>
      <c r="C141" s="22" t="s">
        <v>470</v>
      </c>
      <c r="D141" s="22" t="s">
        <v>462</v>
      </c>
      <c r="E141" s="37" t="s">
        <v>122</v>
      </c>
      <c r="F141" s="22"/>
      <c r="G141" s="84"/>
      <c r="H141" s="22"/>
      <c r="I141" s="22" t="s">
        <v>477</v>
      </c>
      <c r="J141" s="43" t="s">
        <v>472</v>
      </c>
      <c r="K141" s="86" t="s">
        <v>429</v>
      </c>
      <c r="L141" s="27"/>
      <c r="M141" s="27"/>
      <c r="N141" s="87" t="s">
        <v>473</v>
      </c>
    </row>
    <row r="142" spans="1:14" ht="41.4" hidden="1" x14ac:dyDescent="0.3">
      <c r="A142" s="7">
        <f t="shared" si="7"/>
        <v>140</v>
      </c>
      <c r="B142" s="68" t="str">
        <f t="shared" si="5"/>
        <v>Lao động phổ thông</v>
      </c>
      <c r="C142" s="29" t="s">
        <v>474</v>
      </c>
      <c r="D142" s="22" t="s">
        <v>26</v>
      </c>
      <c r="E142" s="37" t="s">
        <v>122</v>
      </c>
      <c r="F142" s="22"/>
      <c r="G142" s="85"/>
      <c r="H142" s="22"/>
      <c r="I142" s="22"/>
      <c r="J142" s="43" t="s">
        <v>478</v>
      </c>
      <c r="K142" s="88" t="s">
        <v>475</v>
      </c>
      <c r="L142" s="26"/>
      <c r="M142" s="26"/>
      <c r="N142" s="42" t="s">
        <v>476</v>
      </c>
    </row>
    <row r="143" spans="1:14" ht="41.4" hidden="1" x14ac:dyDescent="0.3">
      <c r="A143" s="7">
        <f t="shared" si="7"/>
        <v>141</v>
      </c>
      <c r="B143" s="68" t="str">
        <f t="shared" si="5"/>
        <v>Lái máy ủi -x</v>
      </c>
      <c r="C143" s="29" t="s">
        <v>480</v>
      </c>
      <c r="D143" s="91" t="s">
        <v>367</v>
      </c>
      <c r="E143" s="37"/>
      <c r="F143" s="22"/>
      <c r="G143" s="85"/>
      <c r="H143" s="22"/>
      <c r="I143" s="22"/>
      <c r="J143" s="43" t="s">
        <v>485</v>
      </c>
      <c r="K143" s="88" t="s">
        <v>481</v>
      </c>
      <c r="L143" s="26"/>
      <c r="M143" s="26"/>
      <c r="N143" s="42" t="s">
        <v>482</v>
      </c>
    </row>
    <row r="144" spans="1:14" ht="41.4" hidden="1" x14ac:dyDescent="0.3">
      <c r="A144" s="7">
        <f t="shared" si="7"/>
        <v>142</v>
      </c>
      <c r="B144" s="68" t="str">
        <f t="shared" si="5"/>
        <v>Lái máy ủi -x</v>
      </c>
      <c r="C144" s="29" t="s">
        <v>483</v>
      </c>
      <c r="D144" s="91" t="s">
        <v>367</v>
      </c>
      <c r="E144" s="37"/>
      <c r="F144" s="22"/>
      <c r="G144" s="85"/>
      <c r="H144" s="22"/>
      <c r="I144" s="22"/>
      <c r="J144" s="43" t="s">
        <v>485</v>
      </c>
      <c r="K144" s="88" t="s">
        <v>481</v>
      </c>
      <c r="L144" s="26"/>
      <c r="M144" s="26"/>
      <c r="N144" s="42" t="s">
        <v>484</v>
      </c>
    </row>
    <row r="145" spans="1:14" x14ac:dyDescent="0.3">
      <c r="A145" s="7">
        <f t="shared" si="7"/>
        <v>143</v>
      </c>
      <c r="B145" s="68" t="str">
        <f t="shared" si="5"/>
        <v>Lái máy đào -x</v>
      </c>
      <c r="C145" s="29" t="s">
        <v>486</v>
      </c>
      <c r="D145" s="91" t="s">
        <v>299</v>
      </c>
      <c r="E145" s="37"/>
      <c r="F145" s="22"/>
      <c r="G145" s="85"/>
      <c r="H145" s="22"/>
      <c r="I145" s="22"/>
      <c r="J145" s="22" t="s">
        <v>489</v>
      </c>
      <c r="K145" s="88"/>
      <c r="L145" s="26"/>
      <c r="M145" s="26"/>
      <c r="N145" s="42" t="s">
        <v>487</v>
      </c>
    </row>
    <row r="146" spans="1:14" x14ac:dyDescent="0.3">
      <c r="A146" s="7">
        <f t="shared" si="7"/>
        <v>144</v>
      </c>
      <c r="B146" s="68" t="str">
        <f t="shared" ref="B146" si="8">D146</f>
        <v>Lái máy đào</v>
      </c>
      <c r="C146" s="29" t="s">
        <v>488</v>
      </c>
      <c r="D146" s="22" t="s">
        <v>15</v>
      </c>
      <c r="E146" s="37" t="s">
        <v>122</v>
      </c>
      <c r="F146" s="22"/>
      <c r="G146" s="85"/>
      <c r="H146" s="22"/>
      <c r="I146" s="22"/>
      <c r="J146" s="22" t="s">
        <v>489</v>
      </c>
      <c r="K146" s="88"/>
      <c r="L146" s="26"/>
      <c r="M146" s="26"/>
      <c r="N146" s="42" t="s">
        <v>490</v>
      </c>
    </row>
    <row r="147" spans="1:14" hidden="1" x14ac:dyDescent="0.3">
      <c r="A147" s="7">
        <f t="shared" si="7"/>
        <v>145</v>
      </c>
      <c r="B147" s="68" t="str">
        <f t="shared" si="5"/>
        <v>Lao động phổ thông -x</v>
      </c>
      <c r="C147" s="29" t="s">
        <v>491</v>
      </c>
      <c r="D147" s="91" t="s">
        <v>337</v>
      </c>
      <c r="E147" s="37"/>
      <c r="F147" s="22"/>
      <c r="G147" s="85"/>
      <c r="H147" s="22"/>
      <c r="I147" s="22"/>
      <c r="J147" s="22" t="s">
        <v>198</v>
      </c>
      <c r="K147" s="88" t="s">
        <v>376</v>
      </c>
      <c r="L147" s="26"/>
      <c r="M147" s="26"/>
      <c r="N147" s="42" t="s">
        <v>492</v>
      </c>
    </row>
    <row r="148" spans="1:14" hidden="1" x14ac:dyDescent="0.3">
      <c r="A148" s="7">
        <f t="shared" si="7"/>
        <v>146</v>
      </c>
      <c r="B148" s="68" t="str">
        <f t="shared" si="5"/>
        <v>Lao động phổ thông</v>
      </c>
      <c r="C148" s="29" t="s">
        <v>493</v>
      </c>
      <c r="D148" s="22" t="s">
        <v>26</v>
      </c>
      <c r="E148" s="37" t="s">
        <v>122</v>
      </c>
      <c r="F148" s="22"/>
      <c r="G148" s="85" t="s">
        <v>535</v>
      </c>
      <c r="H148" s="22"/>
      <c r="I148" s="22"/>
      <c r="J148" s="22"/>
      <c r="K148" s="88" t="s">
        <v>361</v>
      </c>
      <c r="L148" s="26"/>
      <c r="M148" s="26"/>
      <c r="N148" s="42" t="s">
        <v>494</v>
      </c>
    </row>
    <row r="149" spans="1:14" hidden="1" x14ac:dyDescent="0.3">
      <c r="A149" s="7">
        <f t="shared" si="7"/>
        <v>147</v>
      </c>
      <c r="B149" s="68" t="str">
        <f t="shared" si="5"/>
        <v>Lao động phổ thông</v>
      </c>
      <c r="C149" s="29" t="s">
        <v>495</v>
      </c>
      <c r="D149" s="22" t="s">
        <v>26</v>
      </c>
      <c r="E149" s="37" t="s">
        <v>122</v>
      </c>
      <c r="F149" s="22"/>
      <c r="G149" s="85"/>
      <c r="H149" s="22"/>
      <c r="I149" s="22"/>
      <c r="J149" s="22" t="s">
        <v>508</v>
      </c>
      <c r="K149" s="88" t="s">
        <v>455</v>
      </c>
      <c r="L149" s="26"/>
      <c r="M149" s="26"/>
      <c r="N149" s="42" t="s">
        <v>496</v>
      </c>
    </row>
    <row r="150" spans="1:14" hidden="1" x14ac:dyDescent="0.3">
      <c r="A150" s="7">
        <f t="shared" si="7"/>
        <v>148</v>
      </c>
      <c r="B150" s="68" t="str">
        <f t="shared" si="5"/>
        <v>Lao động phổ thông</v>
      </c>
      <c r="C150" s="29" t="s">
        <v>498</v>
      </c>
      <c r="D150" s="22" t="s">
        <v>26</v>
      </c>
      <c r="E150" s="37" t="s">
        <v>122</v>
      </c>
      <c r="F150" s="22"/>
      <c r="G150" s="85"/>
      <c r="H150" s="22"/>
      <c r="I150" s="22"/>
      <c r="J150" s="22"/>
      <c r="K150" s="88" t="s">
        <v>446</v>
      </c>
      <c r="L150" s="26"/>
      <c r="M150" s="26"/>
      <c r="N150" s="42" t="s">
        <v>499</v>
      </c>
    </row>
    <row r="151" spans="1:14" hidden="1" x14ac:dyDescent="0.3">
      <c r="A151" s="7">
        <f t="shared" si="7"/>
        <v>149</v>
      </c>
      <c r="B151" s="68" t="str">
        <f t="shared" ref="B151" si="9">D151</f>
        <v>Lao động phổ thông</v>
      </c>
      <c r="C151" s="29" t="s">
        <v>500</v>
      </c>
      <c r="D151" s="22" t="s">
        <v>26</v>
      </c>
      <c r="E151" s="37" t="s">
        <v>122</v>
      </c>
      <c r="F151" s="22"/>
      <c r="G151" s="84"/>
      <c r="H151" s="22"/>
      <c r="I151" s="22"/>
      <c r="J151" s="22"/>
      <c r="K151" s="86" t="s">
        <v>357</v>
      </c>
      <c r="L151" s="27"/>
      <c r="M151" s="27"/>
      <c r="N151" s="87" t="s">
        <v>501</v>
      </c>
    </row>
    <row r="152" spans="1:14" ht="41.4" hidden="1" x14ac:dyDescent="0.3">
      <c r="A152" s="7">
        <f t="shared" si="7"/>
        <v>150</v>
      </c>
      <c r="B152" s="68"/>
      <c r="C152" s="22" t="s">
        <v>502</v>
      </c>
      <c r="D152" s="91" t="s">
        <v>247</v>
      </c>
      <c r="E152" s="37"/>
      <c r="F152" s="22"/>
      <c r="G152" s="84"/>
      <c r="H152" s="22"/>
      <c r="I152" s="22" t="s">
        <v>505</v>
      </c>
      <c r="J152" s="43" t="s">
        <v>506</v>
      </c>
      <c r="K152" s="86" t="s">
        <v>503</v>
      </c>
      <c r="L152" s="27"/>
      <c r="M152" s="27"/>
      <c r="N152" s="87" t="s">
        <v>504</v>
      </c>
    </row>
    <row r="153" spans="1:14" x14ac:dyDescent="0.3">
      <c r="A153" s="7">
        <f t="shared" si="7"/>
        <v>151</v>
      </c>
      <c r="B153" s="68"/>
      <c r="C153" s="22" t="s">
        <v>509</v>
      </c>
      <c r="D153" s="91" t="s">
        <v>299</v>
      </c>
      <c r="E153" s="37"/>
      <c r="F153" s="22"/>
      <c r="G153" s="84"/>
      <c r="H153" s="22"/>
      <c r="I153" s="22"/>
      <c r="J153" s="22" t="s">
        <v>554</v>
      </c>
      <c r="K153" s="86" t="s">
        <v>403</v>
      </c>
      <c r="L153" s="27"/>
      <c r="M153" s="27"/>
      <c r="N153" s="87" t="s">
        <v>514</v>
      </c>
    </row>
    <row r="154" spans="1:14" hidden="1" x14ac:dyDescent="0.3">
      <c r="A154" s="7">
        <f t="shared" si="7"/>
        <v>152</v>
      </c>
      <c r="B154" s="68" t="str">
        <f t="shared" ref="B154:B160" si="10">D154</f>
        <v>Lao động phổ thông -x</v>
      </c>
      <c r="C154" s="29" t="s">
        <v>510</v>
      </c>
      <c r="D154" s="91" t="s">
        <v>337</v>
      </c>
      <c r="E154" s="37"/>
      <c r="F154" s="22"/>
      <c r="G154" s="85"/>
      <c r="H154" s="22"/>
      <c r="I154" s="22"/>
      <c r="J154" s="22"/>
      <c r="K154" s="88" t="s">
        <v>511</v>
      </c>
      <c r="L154" s="26"/>
      <c r="M154" s="26"/>
      <c r="N154" s="42" t="s">
        <v>512</v>
      </c>
    </row>
    <row r="155" spans="1:14" hidden="1" x14ac:dyDescent="0.3">
      <c r="A155" s="7">
        <f t="shared" si="7"/>
        <v>153</v>
      </c>
      <c r="B155" s="68" t="str">
        <f t="shared" si="10"/>
        <v>Lái xúc lật</v>
      </c>
      <c r="C155" s="29" t="s">
        <v>513</v>
      </c>
      <c r="D155" s="22" t="s">
        <v>13</v>
      </c>
      <c r="E155" s="37" t="s">
        <v>122</v>
      </c>
      <c r="F155" s="22"/>
      <c r="G155" s="85" t="s">
        <v>536</v>
      </c>
      <c r="H155" s="22"/>
      <c r="I155" s="22"/>
      <c r="J155" s="22" t="s">
        <v>516</v>
      </c>
      <c r="K155" s="88" t="s">
        <v>511</v>
      </c>
      <c r="L155" s="26"/>
      <c r="M155" s="26"/>
      <c r="N155" s="42" t="s">
        <v>515</v>
      </c>
    </row>
    <row r="156" spans="1:14" hidden="1" x14ac:dyDescent="0.3">
      <c r="A156" s="7">
        <f t="shared" si="7"/>
        <v>154</v>
      </c>
      <c r="B156" s="68" t="str">
        <f t="shared" si="10"/>
        <v>Lái xúc lật -x</v>
      </c>
      <c r="C156" s="151" t="s">
        <v>517</v>
      </c>
      <c r="D156" s="91" t="s">
        <v>301</v>
      </c>
      <c r="E156" s="37"/>
      <c r="F156" s="22"/>
      <c r="G156" s="85"/>
      <c r="H156" s="22"/>
      <c r="I156" s="89" t="s">
        <v>519</v>
      </c>
      <c r="J156" s="89" t="s">
        <v>518</v>
      </c>
      <c r="K156" s="88"/>
      <c r="L156" s="26"/>
      <c r="M156" s="26"/>
      <c r="N156" s="42"/>
    </row>
    <row r="157" spans="1:14" hidden="1" x14ac:dyDescent="0.3">
      <c r="A157" s="7">
        <f t="shared" si="7"/>
        <v>155</v>
      </c>
      <c r="B157" s="68" t="str">
        <f t="shared" si="10"/>
        <v>Lái xe đầu kéo -x</v>
      </c>
      <c r="C157" s="29" t="s">
        <v>522</v>
      </c>
      <c r="D157" s="91" t="s">
        <v>300</v>
      </c>
      <c r="E157" s="37"/>
      <c r="F157" s="22"/>
      <c r="G157" s="85"/>
      <c r="H157" s="22"/>
      <c r="I157" s="22"/>
      <c r="J157" s="22"/>
      <c r="K157" s="88" t="s">
        <v>523</v>
      </c>
      <c r="L157" s="26"/>
      <c r="M157" s="26"/>
      <c r="N157" s="42" t="s">
        <v>524</v>
      </c>
    </row>
    <row r="158" spans="1:14" hidden="1" x14ac:dyDescent="0.3">
      <c r="A158" s="7">
        <f t="shared" si="7"/>
        <v>156</v>
      </c>
      <c r="B158" s="68" t="str">
        <f t="shared" si="10"/>
        <v>Lái xe ben -x</v>
      </c>
      <c r="C158" s="29" t="s">
        <v>525</v>
      </c>
      <c r="D158" s="91" t="s">
        <v>247</v>
      </c>
      <c r="E158" s="37"/>
      <c r="F158" s="22"/>
      <c r="G158" s="85"/>
      <c r="H158" s="22"/>
      <c r="I158" s="22"/>
      <c r="J158" s="22" t="s">
        <v>14</v>
      </c>
      <c r="K158" s="88" t="s">
        <v>446</v>
      </c>
      <c r="L158" s="26"/>
      <c r="M158" s="26"/>
      <c r="N158" s="42" t="s">
        <v>526</v>
      </c>
    </row>
    <row r="159" spans="1:14" hidden="1" x14ac:dyDescent="0.3">
      <c r="A159" s="7">
        <f t="shared" si="7"/>
        <v>157</v>
      </c>
      <c r="B159" s="68" t="str">
        <f t="shared" si="10"/>
        <v>Lái cẩu Liebherr -x</v>
      </c>
      <c r="C159" s="29" t="s">
        <v>527</v>
      </c>
      <c r="D159" s="91" t="s">
        <v>365</v>
      </c>
      <c r="E159" s="37"/>
      <c r="F159" s="22"/>
      <c r="G159" s="85"/>
      <c r="H159" s="22"/>
      <c r="I159" s="22"/>
      <c r="J159" s="22"/>
      <c r="K159" s="88" t="s">
        <v>528</v>
      </c>
      <c r="L159" s="26"/>
      <c r="M159" s="26"/>
      <c r="N159" s="42" t="s">
        <v>529</v>
      </c>
    </row>
    <row r="160" spans="1:14" hidden="1" x14ac:dyDescent="0.3">
      <c r="A160" s="7">
        <f t="shared" si="7"/>
        <v>158</v>
      </c>
      <c r="B160" s="68" t="str">
        <f t="shared" si="10"/>
        <v>Lái cẩu Liebherr</v>
      </c>
      <c r="C160" s="29" t="s">
        <v>530</v>
      </c>
      <c r="D160" s="22" t="s">
        <v>10</v>
      </c>
      <c r="E160" s="37" t="s">
        <v>122</v>
      </c>
      <c r="F160" s="22"/>
      <c r="G160" s="85" t="s">
        <v>534</v>
      </c>
      <c r="H160" s="22"/>
      <c r="I160" s="22"/>
      <c r="J160" s="22" t="s">
        <v>531</v>
      </c>
      <c r="K160" s="88" t="s">
        <v>532</v>
      </c>
      <c r="L160" s="26"/>
      <c r="M160" s="26"/>
      <c r="N160" s="42" t="s">
        <v>533</v>
      </c>
    </row>
    <row r="161" spans="1:14" hidden="1" x14ac:dyDescent="0.25">
      <c r="A161" s="7">
        <f>A160+1</f>
        <v>159</v>
      </c>
      <c r="C161" s="22" t="s">
        <v>539</v>
      </c>
      <c r="D161" s="22" t="s">
        <v>26</v>
      </c>
      <c r="E161" s="37" t="s">
        <v>122</v>
      </c>
      <c r="F161" s="22"/>
      <c r="G161" s="31">
        <v>46144</v>
      </c>
      <c r="H161" s="22"/>
      <c r="I161" s="22"/>
      <c r="J161" s="22"/>
      <c r="K161" s="152">
        <v>1978</v>
      </c>
      <c r="L161" s="153" t="s">
        <v>543</v>
      </c>
      <c r="M161" s="27"/>
      <c r="N161" s="153" t="s">
        <v>543</v>
      </c>
    </row>
    <row r="162" spans="1:14" hidden="1" x14ac:dyDescent="0.25">
      <c r="A162" s="7">
        <f t="shared" ref="A162:A166" si="11">A161+1</f>
        <v>160</v>
      </c>
      <c r="C162" s="22" t="s">
        <v>540</v>
      </c>
      <c r="D162" s="22" t="s">
        <v>26</v>
      </c>
      <c r="E162" s="37" t="s">
        <v>122</v>
      </c>
      <c r="F162" s="22"/>
      <c r="G162" s="31">
        <v>46144</v>
      </c>
      <c r="H162" s="22"/>
      <c r="I162" s="22"/>
      <c r="J162" s="22"/>
      <c r="K162" s="152">
        <v>1998</v>
      </c>
      <c r="L162" s="153" t="s">
        <v>544</v>
      </c>
      <c r="M162" s="27"/>
      <c r="N162" s="153" t="s">
        <v>544</v>
      </c>
    </row>
    <row r="163" spans="1:14" hidden="1" x14ac:dyDescent="0.25">
      <c r="A163" s="7">
        <f t="shared" si="11"/>
        <v>161</v>
      </c>
      <c r="C163" s="22" t="s">
        <v>541</v>
      </c>
      <c r="D163" s="22" t="s">
        <v>26</v>
      </c>
      <c r="E163" s="37" t="s">
        <v>122</v>
      </c>
      <c r="F163" s="22"/>
      <c r="G163" s="31">
        <v>46144</v>
      </c>
      <c r="H163" s="22"/>
      <c r="I163" s="22"/>
      <c r="J163" s="22"/>
      <c r="K163" s="152">
        <v>1998</v>
      </c>
      <c r="L163" s="153" t="s">
        <v>545</v>
      </c>
      <c r="M163" s="27"/>
      <c r="N163" s="153" t="s">
        <v>545</v>
      </c>
    </row>
    <row r="164" spans="1:14" hidden="1" x14ac:dyDescent="0.25">
      <c r="A164" s="7">
        <f t="shared" si="11"/>
        <v>162</v>
      </c>
      <c r="C164" s="25" t="s">
        <v>542</v>
      </c>
      <c r="D164" s="22" t="s">
        <v>26</v>
      </c>
      <c r="E164" s="37" t="s">
        <v>122</v>
      </c>
      <c r="F164" s="22"/>
      <c r="G164" s="31">
        <v>46144</v>
      </c>
      <c r="H164" s="22"/>
      <c r="I164" s="22"/>
      <c r="J164" s="22"/>
      <c r="K164" s="152">
        <v>1999</v>
      </c>
      <c r="L164" s="153" t="s">
        <v>546</v>
      </c>
      <c r="M164" s="27"/>
      <c r="N164" s="153" t="s">
        <v>546</v>
      </c>
    </row>
    <row r="165" spans="1:14" hidden="1" x14ac:dyDescent="0.25">
      <c r="A165" s="7">
        <f t="shared" si="11"/>
        <v>163</v>
      </c>
      <c r="B165" s="154" t="str">
        <f t="shared" ref="B165:B167" si="12">D165</f>
        <v>Lái xúc lật</v>
      </c>
      <c r="C165" s="29" t="s">
        <v>547</v>
      </c>
      <c r="D165" s="22" t="s">
        <v>13</v>
      </c>
      <c r="E165" s="37" t="s">
        <v>122</v>
      </c>
      <c r="F165" s="22"/>
      <c r="G165" s="85" t="s">
        <v>548</v>
      </c>
      <c r="H165" s="22"/>
      <c r="I165" s="22"/>
      <c r="J165" s="22"/>
      <c r="K165" s="152" t="s">
        <v>384</v>
      </c>
      <c r="L165" s="26"/>
      <c r="M165" s="26"/>
      <c r="N165" s="42" t="s">
        <v>549</v>
      </c>
    </row>
    <row r="166" spans="1:14" hidden="1" x14ac:dyDescent="0.25">
      <c r="A166" s="7">
        <f t="shared" si="11"/>
        <v>164</v>
      </c>
      <c r="B166" s="154" t="str">
        <f t="shared" si="12"/>
        <v>Quản lý cơ giới</v>
      </c>
      <c r="C166" s="29" t="s">
        <v>550</v>
      </c>
      <c r="D166" s="22" t="s">
        <v>298</v>
      </c>
      <c r="E166" s="37" t="s">
        <v>122</v>
      </c>
      <c r="F166" s="22"/>
      <c r="G166" s="85" t="s">
        <v>548</v>
      </c>
      <c r="H166" s="22"/>
      <c r="I166" s="22"/>
      <c r="J166" s="22"/>
      <c r="K166" s="152" t="s">
        <v>551</v>
      </c>
      <c r="L166" s="26"/>
      <c r="M166" s="26"/>
      <c r="N166" s="157" t="s">
        <v>552</v>
      </c>
    </row>
    <row r="167" spans="1:14" hidden="1" x14ac:dyDescent="0.3">
      <c r="A167" s="7"/>
      <c r="B167" s="154">
        <f t="shared" si="12"/>
        <v>0</v>
      </c>
      <c r="C167" s="29"/>
      <c r="D167" s="22"/>
      <c r="E167" s="37"/>
      <c r="F167" s="22"/>
      <c r="G167" s="85"/>
      <c r="H167" s="22"/>
      <c r="I167" s="22"/>
      <c r="J167" s="22"/>
      <c r="K167" s="88"/>
      <c r="L167" s="26"/>
      <c r="M167" s="26"/>
      <c r="N167" s="42"/>
    </row>
    <row r="168" spans="1:14" hidden="1" x14ac:dyDescent="0.3">
      <c r="A168" s="22"/>
      <c r="B168" s="155"/>
      <c r="C168" s="22"/>
      <c r="D168" s="22"/>
      <c r="E168" s="37"/>
      <c r="F168" s="22"/>
      <c r="G168" s="22"/>
      <c r="H168" s="22"/>
      <c r="I168" s="22"/>
      <c r="J168" s="22"/>
      <c r="K168" s="27"/>
      <c r="L168" s="27"/>
      <c r="M168" s="27"/>
      <c r="N168" s="156"/>
    </row>
    <row r="169" spans="1:14" hidden="1" x14ac:dyDescent="0.3">
      <c r="A169" s="22"/>
      <c r="B169" s="155"/>
      <c r="C169" s="22"/>
      <c r="D169" s="22"/>
      <c r="E169" s="37"/>
      <c r="F169" s="22"/>
      <c r="G169" s="22"/>
      <c r="H169" s="22"/>
      <c r="I169" s="22"/>
      <c r="J169" s="22"/>
      <c r="K169" s="27"/>
      <c r="L169" s="27"/>
      <c r="M169" s="27"/>
      <c r="N169" s="156"/>
    </row>
    <row r="170" spans="1:14" hidden="1" x14ac:dyDescent="0.3">
      <c r="A170" s="22"/>
      <c r="B170" s="155"/>
      <c r="C170" s="22"/>
      <c r="D170" s="22"/>
      <c r="E170" s="37"/>
      <c r="F170" s="22"/>
      <c r="G170" s="22"/>
      <c r="H170" s="22"/>
      <c r="I170" s="22"/>
      <c r="J170" s="22"/>
      <c r="K170" s="27"/>
      <c r="L170" s="27"/>
      <c r="M170" s="27"/>
      <c r="N170" s="156"/>
    </row>
    <row r="171" spans="1:14" hidden="1" x14ac:dyDescent="0.3">
      <c r="A171" s="22"/>
      <c r="B171" s="155"/>
      <c r="C171" s="22"/>
      <c r="D171" s="22"/>
      <c r="E171" s="37"/>
      <c r="F171" s="22"/>
      <c r="G171" s="22"/>
      <c r="H171" s="22"/>
      <c r="I171" s="22"/>
      <c r="J171" s="22"/>
      <c r="K171" s="27"/>
      <c r="L171" s="27"/>
      <c r="M171" s="27"/>
      <c r="N171" s="156"/>
    </row>
    <row r="172" spans="1:14" hidden="1" x14ac:dyDescent="0.3">
      <c r="A172" s="22"/>
      <c r="B172" s="155"/>
      <c r="C172" s="22"/>
      <c r="D172" s="22"/>
      <c r="E172" s="37"/>
      <c r="F172" s="22"/>
      <c r="G172" s="22"/>
      <c r="H172" s="22"/>
      <c r="I172" s="22"/>
      <c r="J172" s="22"/>
      <c r="K172" s="27"/>
      <c r="L172" s="27"/>
      <c r="M172" s="27"/>
      <c r="N172" s="156"/>
    </row>
    <row r="173" spans="1:14" hidden="1" x14ac:dyDescent="0.3">
      <c r="A173" s="22"/>
      <c r="B173" s="155"/>
      <c r="C173" s="22"/>
      <c r="D173" s="22"/>
      <c r="E173" s="37"/>
      <c r="F173" s="22"/>
      <c r="G173" s="22"/>
      <c r="H173" s="22"/>
      <c r="I173" s="22"/>
      <c r="J173" s="22"/>
      <c r="K173" s="27"/>
      <c r="L173" s="27"/>
      <c r="M173" s="27"/>
      <c r="N173" s="156"/>
    </row>
    <row r="174" spans="1:14" hidden="1" x14ac:dyDescent="0.3">
      <c r="A174" s="22"/>
      <c r="B174" s="155"/>
      <c r="C174" s="22"/>
      <c r="D174" s="22"/>
      <c r="E174" s="37"/>
      <c r="F174" s="22"/>
      <c r="G174" s="22"/>
      <c r="H174" s="22"/>
      <c r="I174" s="22"/>
      <c r="J174" s="22"/>
      <c r="K174" s="27"/>
      <c r="L174" s="27"/>
      <c r="M174" s="27"/>
      <c r="N174" s="156"/>
    </row>
    <row r="175" spans="1:14" hidden="1" x14ac:dyDescent="0.3">
      <c r="A175" s="22"/>
      <c r="B175" s="155"/>
      <c r="C175" s="22"/>
      <c r="D175" s="22"/>
      <c r="E175" s="37"/>
      <c r="F175" s="22"/>
      <c r="G175" s="22"/>
      <c r="H175" s="22"/>
      <c r="I175" s="22"/>
      <c r="J175" s="22"/>
      <c r="K175" s="27"/>
      <c r="L175" s="27"/>
      <c r="M175" s="27"/>
      <c r="N175" s="156"/>
    </row>
    <row r="176" spans="1:14" hidden="1" x14ac:dyDescent="0.3">
      <c r="A176" s="22"/>
      <c r="B176" s="155"/>
      <c r="C176" s="22"/>
      <c r="D176" s="22"/>
      <c r="E176" s="37"/>
      <c r="F176" s="22"/>
      <c r="G176" s="22"/>
      <c r="H176" s="22"/>
      <c r="I176" s="22"/>
      <c r="J176" s="22"/>
      <c r="K176" s="27"/>
      <c r="L176" s="27"/>
      <c r="M176" s="27"/>
      <c r="N176" s="156"/>
    </row>
    <row r="177" spans="1:14" hidden="1" x14ac:dyDescent="0.3">
      <c r="A177" s="22"/>
      <c r="B177" s="155"/>
      <c r="C177" s="22"/>
      <c r="D177" s="22"/>
      <c r="E177" s="37"/>
      <c r="F177" s="22"/>
      <c r="G177" s="22"/>
      <c r="H177" s="22"/>
      <c r="I177" s="22"/>
      <c r="J177" s="22"/>
      <c r="K177" s="27"/>
      <c r="L177" s="27"/>
      <c r="M177" s="27"/>
      <c r="N177" s="156"/>
    </row>
    <row r="178" spans="1:14" hidden="1" x14ac:dyDescent="0.3">
      <c r="A178" s="22"/>
      <c r="B178" s="155"/>
      <c r="C178" s="22"/>
      <c r="D178" s="22"/>
      <c r="E178" s="37"/>
      <c r="F178" s="22"/>
      <c r="G178" s="22"/>
      <c r="H178" s="22"/>
      <c r="I178" s="22"/>
      <c r="J178" s="22"/>
      <c r="K178" s="27"/>
      <c r="L178" s="27"/>
      <c r="M178" s="27"/>
      <c r="N178" s="156"/>
    </row>
    <row r="179" spans="1:14" hidden="1" x14ac:dyDescent="0.3">
      <c r="A179" s="22"/>
      <c r="B179" s="155"/>
      <c r="C179" s="22"/>
      <c r="D179" s="22"/>
      <c r="E179" s="37"/>
      <c r="F179" s="22"/>
      <c r="G179" s="22"/>
      <c r="H179" s="22"/>
      <c r="I179" s="22"/>
      <c r="J179" s="22"/>
      <c r="K179" s="27"/>
      <c r="L179" s="27"/>
      <c r="M179" s="27"/>
      <c r="N179" s="156"/>
    </row>
    <row r="180" spans="1:14" hidden="1" x14ac:dyDescent="0.3">
      <c r="A180" s="22"/>
      <c r="B180" s="155"/>
      <c r="C180" s="22"/>
      <c r="D180" s="22"/>
      <c r="E180" s="37"/>
      <c r="F180" s="22"/>
      <c r="G180" s="22"/>
      <c r="H180" s="22"/>
      <c r="I180" s="22"/>
      <c r="J180" s="22"/>
      <c r="K180" s="27"/>
      <c r="L180" s="27"/>
      <c r="M180" s="27"/>
      <c r="N180" s="156"/>
    </row>
    <row r="181" spans="1:14" hidden="1" x14ac:dyDescent="0.3">
      <c r="A181" s="22"/>
      <c r="B181" s="155"/>
      <c r="C181" s="22"/>
      <c r="D181" s="22"/>
      <c r="E181" s="37"/>
      <c r="F181" s="22"/>
      <c r="G181" s="22"/>
      <c r="H181" s="22"/>
      <c r="I181" s="22"/>
      <c r="J181" s="22"/>
      <c r="K181" s="27"/>
      <c r="L181" s="27"/>
      <c r="M181" s="27"/>
      <c r="N181" s="156"/>
    </row>
    <row r="182" spans="1:14" hidden="1" x14ac:dyDescent="0.3">
      <c r="A182" s="22"/>
      <c r="B182" s="155"/>
      <c r="C182" s="22"/>
      <c r="D182" s="22"/>
      <c r="E182" s="37"/>
      <c r="F182" s="22"/>
      <c r="G182" s="22"/>
      <c r="H182" s="22"/>
      <c r="I182" s="22"/>
      <c r="J182" s="22"/>
      <c r="K182" s="27"/>
      <c r="L182" s="27"/>
      <c r="M182" s="27"/>
      <c r="N182" s="156"/>
    </row>
    <row r="183" spans="1:14" hidden="1" x14ac:dyDescent="0.3">
      <c r="A183" s="22"/>
      <c r="B183" s="155"/>
      <c r="C183" s="22"/>
      <c r="D183" s="22"/>
      <c r="E183" s="37"/>
      <c r="F183" s="22"/>
      <c r="G183" s="22"/>
      <c r="H183" s="22"/>
      <c r="I183" s="22"/>
      <c r="J183" s="22"/>
      <c r="K183" s="27"/>
      <c r="L183" s="27"/>
      <c r="M183" s="27"/>
      <c r="N183" s="156"/>
    </row>
  </sheetData>
  <phoneticPr fontId="19" type="noConversion"/>
  <dataValidations count="5">
    <dataValidation type="list" allowBlank="1" showInputMessage="1" showErrorMessage="1" sqref="F37:F41 F46:F56 F65 F102:F146 F70 F74 F76 F80:F81 F85:F88 F93:F97 F63 F67 F100 F151:F157">
      <formula1>$F$8</formula1>
    </dataValidation>
    <dataValidation type="list" allowBlank="1" showInputMessage="1" showErrorMessage="1" sqref="E37:E86 E88:E167">
      <formula1>$E$3</formula1>
    </dataValidation>
    <dataValidation type="list" allowBlank="1" showInputMessage="1" showErrorMessage="1" sqref="D114 D117 D122:D129 D120 D64 D100 D69 D133 D18 D78 D108 D131">
      <formula1>$U$3:$U$23</formula1>
    </dataValidation>
    <dataValidation type="list" allowBlank="1" showInputMessage="1" showErrorMessage="1" sqref="D37 D70:D73 D65:D68 D160:D183 D56:D63 D118:D119 D121 D115:D116 D109:D112 D146 D88:D91 D75 D53 D51 D42:D45 D39:D40 D79:D80 D82:D85 D135:D136 D138 D77 D140:D142 D106:D107 D97:D99 D148:D151 D155 D130 D132">
      <formula1>$P$3:$P$26</formula1>
    </dataValidation>
    <dataValidation type="list" allowBlank="1" showInputMessage="1" showErrorMessage="1" sqref="D134 D137 D139 D143:D145 D17 D92 D156:D159 D147 D152:D154">
      <formula1>$U$3:$U$24</formula1>
    </dataValidation>
  </dataValidations>
  <pageMargins left="0.7" right="0.7" top="0.75" bottom="0.75" header="0.3" footer="0.3"/>
  <pageSetup paperSize="9" orientation="portrait" r:id="rId1"/>
  <ignoredErrors>
    <ignoredError sqref="K165" numberStoredAsText="1"/>
  </ignoredError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77"/>
  <sheetViews>
    <sheetView zoomScaleNormal="100" workbookViewId="0">
      <pane xSplit="3" ySplit="2" topLeftCell="D3" activePane="bottomRight" state="frozen"/>
      <selection pane="topRight" activeCell="C1" sqref="C1"/>
      <selection pane="bottomLeft" activeCell="A3" sqref="A3"/>
      <selection pane="bottomRight" activeCell="G11" sqref="G11"/>
    </sheetView>
  </sheetViews>
  <sheetFormatPr defaultColWidth="8.88671875" defaultRowHeight="13.8" x14ac:dyDescent="0.3"/>
  <cols>
    <col min="1" max="1" width="4.21875" style="16" customWidth="1"/>
    <col min="2" max="2" width="6.44140625" style="125" customWidth="1"/>
    <col min="3" max="3" width="22.77734375" style="16" bestFit="1" customWidth="1"/>
    <col min="4" max="4" width="20.5546875" style="16" customWidth="1"/>
    <col min="5" max="5" width="17.109375" style="16" customWidth="1"/>
    <col min="6" max="6" width="6.88671875" style="16" customWidth="1"/>
    <col min="7" max="7" width="12.5546875" style="126" bestFit="1" customWidth="1"/>
    <col min="8" max="8" width="4.33203125" style="20" customWidth="1"/>
    <col min="9" max="9" width="10" style="16" bestFit="1" customWidth="1"/>
    <col min="10" max="16384" width="8.88671875" style="16"/>
  </cols>
  <sheetData>
    <row r="1" spans="1:8" x14ac:dyDescent="0.3">
      <c r="A1" s="15"/>
      <c r="B1" s="121" t="s">
        <v>392</v>
      </c>
    </row>
    <row r="2" spans="1:8" ht="65.400000000000006" customHeight="1" x14ac:dyDescent="0.3">
      <c r="A2" s="73" t="s">
        <v>391</v>
      </c>
      <c r="B2" s="122" t="s">
        <v>390</v>
      </c>
      <c r="C2" s="70" t="s">
        <v>2</v>
      </c>
      <c r="D2" s="70" t="s">
        <v>3</v>
      </c>
      <c r="E2" s="73" t="s">
        <v>31</v>
      </c>
      <c r="F2" s="73" t="s">
        <v>6</v>
      </c>
      <c r="G2" s="127" t="s">
        <v>32</v>
      </c>
    </row>
    <row r="3" spans="1:8" x14ac:dyDescent="0.3">
      <c r="A3" s="130">
        <v>7</v>
      </c>
      <c r="B3" s="123">
        <v>1</v>
      </c>
      <c r="C3" s="29" t="str">
        <f>VLOOKUP($A3, 'Tong the'!$A$3:$N$150,3,0)</f>
        <v>Nguyễn Thị Thu Hường</v>
      </c>
      <c r="D3" s="29" t="str">
        <f>VLOOKUP($A3, 'Tong the'!$A$3:$N$150,4,0)</f>
        <v>Kế toán</v>
      </c>
      <c r="E3" s="31">
        <f>VLOOKUP($A3, 'Tong the'!$A$3:$N$150,7,0)</f>
        <v>46037</v>
      </c>
      <c r="F3" s="29">
        <f>VLOOKUP($A3, 'Tong the'!$A$3:$N$150,11,0)</f>
        <v>2001</v>
      </c>
      <c r="G3" s="128" t="str">
        <f>VLOOKUP($A3, 'Tong the'!$A$3:$N$150,14,0)</f>
        <v>0799182413</v>
      </c>
      <c r="H3" s="16"/>
    </row>
    <row r="4" spans="1:8" x14ac:dyDescent="0.3">
      <c r="A4" s="130">
        <v>13</v>
      </c>
      <c r="B4" s="123">
        <f>B3+1</f>
        <v>2</v>
      </c>
      <c r="C4" s="29" t="str">
        <f>VLOOKUP($A4, 'Tong the'!$A$3:$N$150,3,0)</f>
        <v>Nguyễn Thị Thu Hằng</v>
      </c>
      <c r="D4" s="29" t="str">
        <f>VLOOKUP($A4, 'Tong the'!$A$3:$N$150,4,0)</f>
        <v>Trạm cân</v>
      </c>
      <c r="E4" s="31">
        <f>VLOOKUP($A4, 'Tong the'!$A$3:$N$150,7,0)</f>
        <v>46082</v>
      </c>
      <c r="F4" s="29">
        <f>VLOOKUP($A4, 'Tong the'!$A$3:$N$150,11,0)</f>
        <v>2003</v>
      </c>
      <c r="G4" s="128" t="str">
        <f>VLOOKUP($A4, 'Tong the'!$A$3:$N$150,14,0)</f>
        <v>0799106337</v>
      </c>
      <c r="H4" s="16"/>
    </row>
    <row r="5" spans="1:8" x14ac:dyDescent="0.3">
      <c r="A5" s="130">
        <v>14</v>
      </c>
      <c r="B5" s="123">
        <f t="shared" ref="B5:B12" si="0">B4+1</f>
        <v>3</v>
      </c>
      <c r="C5" s="29" t="str">
        <f>VLOOKUP($A5, 'Tong the'!$A$3:$N$150,3,0)</f>
        <v>Lê Thị Kiều Trang</v>
      </c>
      <c r="D5" s="29" t="str">
        <f>VLOOKUP($A5, 'Tong the'!$A$3:$N$150,4,0)</f>
        <v>Trạm cân</v>
      </c>
      <c r="E5" s="31">
        <f>VLOOKUP($A5, 'Tong the'!$A$3:$N$150,7,0)</f>
        <v>46082</v>
      </c>
      <c r="F5" s="29">
        <f>VLOOKUP($A5, 'Tong the'!$A$3:$N$150,11,0)</f>
        <v>2003</v>
      </c>
      <c r="G5" s="128" t="str">
        <f>VLOOKUP($A5, 'Tong the'!$A$3:$N$150,14,0)</f>
        <v>0948252943</v>
      </c>
      <c r="H5" s="16"/>
    </row>
    <row r="6" spans="1:8" x14ac:dyDescent="0.3">
      <c r="A6" s="130">
        <v>19</v>
      </c>
      <c r="B6" s="123">
        <f t="shared" si="0"/>
        <v>4</v>
      </c>
      <c r="C6" s="29" t="str">
        <f>VLOOKUP($A6, 'Tong the'!$A$3:$N$150,3,0)</f>
        <v>Từ Nữ Kiều Trinh</v>
      </c>
      <c r="D6" s="29" t="str">
        <f>VLOOKUP($A6, 'Tong the'!$A$3:$N$150,4,0)</f>
        <v>Kế toán</v>
      </c>
      <c r="E6" s="31">
        <f>VLOOKUP($A6, 'Tong the'!$A$3:$N$150,7,0)</f>
        <v>46082</v>
      </c>
      <c r="F6" s="29">
        <f>VLOOKUP($A6, 'Tong the'!$A$3:$N$150,11,0)</f>
        <v>1998</v>
      </c>
      <c r="G6" s="128" t="str">
        <f>VLOOKUP($A6, 'Tong the'!$A$3:$N$150,14,0)</f>
        <v>0961544089</v>
      </c>
      <c r="H6" s="16"/>
    </row>
    <row r="7" spans="1:8" x14ac:dyDescent="0.3">
      <c r="A7" s="130">
        <v>27</v>
      </c>
      <c r="B7" s="123">
        <f t="shared" si="0"/>
        <v>5</v>
      </c>
      <c r="C7" s="29" t="str">
        <f>VLOOKUP($A7, 'Tong the'!$A$3:$N$150,3,0)</f>
        <v>Nguyễn Vũ Duy</v>
      </c>
      <c r="D7" s="29" t="str">
        <f>VLOOKUP($A7, 'Tong the'!$A$3:$N$150,4,0)</f>
        <v>Kinh doanh</v>
      </c>
      <c r="E7" s="31">
        <f>VLOOKUP($A7, 'Tong the'!$A$3:$N$150,7,0)</f>
        <v>46082</v>
      </c>
      <c r="F7" s="29">
        <f>VLOOKUP($A7, 'Tong the'!$A$3:$N$150,11,0)</f>
        <v>2003</v>
      </c>
      <c r="G7" s="128" t="str">
        <f>VLOOKUP($A7, 'Tong the'!$A$3:$N$150,14,0)</f>
        <v>0916118042</v>
      </c>
      <c r="H7" s="16"/>
    </row>
    <row r="8" spans="1:8" x14ac:dyDescent="0.3">
      <c r="A8" s="130">
        <v>41</v>
      </c>
      <c r="B8" s="123">
        <f>B7+1</f>
        <v>6</v>
      </c>
      <c r="C8" s="29" t="str">
        <f>VLOOKUP($A8, 'Tong the'!$A$3:$N$150,3,0)</f>
        <v>Đặng Yến Quang</v>
      </c>
      <c r="D8" s="29" t="str">
        <f>VLOOKUP($A8, 'Tong the'!$A$3:$N$150,4,0)</f>
        <v>Lái cẩu Liebherr</v>
      </c>
      <c r="E8" s="31">
        <f>VLOOKUP($A8, 'Tong the'!$A$3:$N$150,7,0)</f>
        <v>46040</v>
      </c>
      <c r="F8" s="29">
        <f>VLOOKUP($A8, 'Tong the'!$A$3:$N$150,11,0)</f>
        <v>1986</v>
      </c>
      <c r="G8" s="128" t="str">
        <f>VLOOKUP($A8, 'Tong the'!$A$3:$N$150,14,0)</f>
        <v>0823509379</v>
      </c>
      <c r="H8" s="16"/>
    </row>
    <row r="9" spans="1:8" x14ac:dyDescent="0.3">
      <c r="A9" s="130">
        <v>48</v>
      </c>
      <c r="B9" s="123">
        <f t="shared" si="0"/>
        <v>7</v>
      </c>
      <c r="C9" s="29" t="str">
        <f>VLOOKUP($A9, 'Tong the'!$A$3:$N$150,3,0)</f>
        <v>Lưu Đức Tình</v>
      </c>
      <c r="D9" s="29" t="str">
        <f>VLOOKUP($A9, 'Tong the'!$A$3:$N$150,4,0)</f>
        <v>Tổ trưởng nhân công</v>
      </c>
      <c r="E9" s="31">
        <f>VLOOKUP($A9, 'Tong the'!$A$3:$N$150,7,0)</f>
        <v>46082</v>
      </c>
      <c r="F9" s="29">
        <f>VLOOKUP($A9, 'Tong the'!$A$3:$N$150,11,0)</f>
        <v>1997</v>
      </c>
      <c r="G9" s="128" t="str">
        <f>VLOOKUP($A9, 'Tong the'!$A$3:$N$150,14,0)</f>
        <v>0372346667</v>
      </c>
      <c r="H9" s="16"/>
    </row>
    <row r="10" spans="1:8" x14ac:dyDescent="0.3">
      <c r="A10" s="130">
        <v>49</v>
      </c>
      <c r="B10" s="123">
        <f t="shared" si="0"/>
        <v>8</v>
      </c>
      <c r="C10" s="29" t="str">
        <f>VLOOKUP($A10, 'Tong the'!$A$3:$N$150,3,0)</f>
        <v>Lưu Thị Nghĩa</v>
      </c>
      <c r="D10" s="29" t="str">
        <f>VLOOKUP($A10, 'Tong the'!$A$3:$N$150,4,0)</f>
        <v>Kinh doanh</v>
      </c>
      <c r="E10" s="31">
        <f>VLOOKUP($A10, 'Tong the'!$A$3:$N$150,7,0)</f>
        <v>46082</v>
      </c>
      <c r="F10" s="29">
        <f>VLOOKUP($A10, 'Tong the'!$A$3:$N$150,11,0)</f>
        <v>1999</v>
      </c>
      <c r="G10" s="128" t="str">
        <f>VLOOKUP($A10, 'Tong the'!$A$3:$N$150,14,0)</f>
        <v>0829423293</v>
      </c>
      <c r="H10" s="16"/>
    </row>
    <row r="11" spans="1:8" x14ac:dyDescent="0.3">
      <c r="A11" s="130">
        <v>59</v>
      </c>
      <c r="B11" s="123">
        <f t="shared" si="0"/>
        <v>9</v>
      </c>
      <c r="C11" s="29" t="str">
        <f>VLOOKUP($A11, 'Tong the'!$A$3:$N$150,3,0)</f>
        <v>Trần Ngọc Huy</v>
      </c>
      <c r="D11" s="29" t="str">
        <f>VLOOKUP($A11, 'Tong the'!$A$3:$N$150,4,0)</f>
        <v>Thợ vận hành băng tải</v>
      </c>
      <c r="E11" s="31">
        <f>VLOOKUP($A11, 'Tong the'!$A$3:$N$150,7,0)</f>
        <v>46082</v>
      </c>
      <c r="F11" s="29">
        <f>VLOOKUP($A11, 'Tong the'!$A$3:$N$150,11,0)</f>
        <v>1999</v>
      </c>
      <c r="G11" s="128" t="str">
        <f>VLOOKUP($A11, 'Tong the'!$A$3:$N$150,14,0)</f>
        <v>0963593585</v>
      </c>
      <c r="H11" s="16"/>
    </row>
    <row r="12" spans="1:8" x14ac:dyDescent="0.3">
      <c r="A12" s="130">
        <v>35</v>
      </c>
      <c r="B12" s="123">
        <f t="shared" si="0"/>
        <v>10</v>
      </c>
      <c r="C12" s="29" t="str">
        <f>VLOOKUP($A12, 'Tong the'!$A$3:$N$150,3,0)</f>
        <v>Lê Thị Vân Anh</v>
      </c>
      <c r="D12" s="29" t="str">
        <f>VLOOKUP($A12, 'Tong the'!$A$3:$N$150,4,0)</f>
        <v>Làm hành chính</v>
      </c>
      <c r="E12" s="31">
        <f>VLOOKUP($A12, 'Tong the'!$A$3:$N$150,7,0)</f>
        <v>46037</v>
      </c>
      <c r="F12" s="29">
        <f>VLOOKUP($A12, 'Tong the'!$A$3:$N$150,11,0)</f>
        <v>2003</v>
      </c>
      <c r="G12" s="128" t="str">
        <f>VLOOKUP($A12, 'Tong the'!$A$3:$N$150,14,0)</f>
        <v>0965951621</v>
      </c>
      <c r="H12" s="16"/>
    </row>
    <row r="13" spans="1:8" x14ac:dyDescent="0.3">
      <c r="A13" s="130"/>
      <c r="B13" s="124"/>
      <c r="C13" s="22"/>
      <c r="D13" s="22"/>
      <c r="E13" s="119"/>
      <c r="F13" s="120"/>
      <c r="G13" s="119"/>
      <c r="H13" s="16"/>
    </row>
    <row r="14" spans="1:8" x14ac:dyDescent="0.3">
      <c r="A14" s="130"/>
      <c r="B14" s="124"/>
      <c r="C14" s="22"/>
      <c r="D14" s="22"/>
      <c r="E14" s="119"/>
      <c r="F14" s="120"/>
      <c r="G14" s="119"/>
      <c r="H14" s="16"/>
    </row>
    <row r="15" spans="1:8" x14ac:dyDescent="0.3">
      <c r="A15" s="130"/>
      <c r="B15" s="124"/>
      <c r="C15" s="22"/>
      <c r="D15" s="22"/>
      <c r="E15" s="119"/>
      <c r="F15" s="120"/>
      <c r="G15" s="119"/>
      <c r="H15" s="16"/>
    </row>
    <row r="16" spans="1:8" x14ac:dyDescent="0.3">
      <c r="A16" s="130"/>
      <c r="B16" s="124"/>
      <c r="C16" s="22"/>
      <c r="D16" s="22"/>
      <c r="E16" s="119"/>
      <c r="F16" s="120"/>
      <c r="G16" s="119"/>
      <c r="H16" s="16"/>
    </row>
    <row r="17" spans="1:8" x14ac:dyDescent="0.3">
      <c r="A17" s="130"/>
      <c r="B17" s="124"/>
      <c r="C17" s="22"/>
      <c r="D17" s="22"/>
      <c r="E17" s="119"/>
      <c r="F17" s="120"/>
      <c r="G17" s="119"/>
      <c r="H17" s="16"/>
    </row>
    <row r="18" spans="1:8" x14ac:dyDescent="0.3">
      <c r="A18" s="130"/>
      <c r="B18" s="124"/>
      <c r="C18" s="22"/>
      <c r="D18" s="22"/>
      <c r="E18" s="119"/>
      <c r="F18" s="120"/>
      <c r="G18" s="119"/>
      <c r="H18" s="16"/>
    </row>
    <row r="19" spans="1:8" x14ac:dyDescent="0.3">
      <c r="A19" s="130"/>
      <c r="B19" s="124"/>
      <c r="C19" s="22"/>
      <c r="D19" s="22"/>
      <c r="E19" s="119"/>
      <c r="F19" s="120"/>
      <c r="G19" s="119"/>
      <c r="H19" s="16"/>
    </row>
    <row r="20" spans="1:8" x14ac:dyDescent="0.3">
      <c r="A20" s="130"/>
      <c r="B20" s="124"/>
      <c r="C20" s="22"/>
      <c r="D20" s="22"/>
      <c r="E20" s="119"/>
      <c r="F20" s="120"/>
      <c r="G20" s="119"/>
      <c r="H20" s="16"/>
    </row>
    <row r="21" spans="1:8" x14ac:dyDescent="0.3">
      <c r="A21" s="130"/>
      <c r="B21" s="124"/>
      <c r="C21" s="22"/>
      <c r="D21" s="22"/>
      <c r="E21" s="119"/>
      <c r="F21" s="120"/>
      <c r="G21" s="119"/>
      <c r="H21" s="16"/>
    </row>
    <row r="22" spans="1:8" x14ac:dyDescent="0.3">
      <c r="A22" s="130"/>
      <c r="B22" s="124"/>
      <c r="C22" s="22"/>
      <c r="D22" s="22"/>
      <c r="E22" s="119"/>
      <c r="F22" s="120"/>
      <c r="G22" s="119"/>
      <c r="H22" s="16"/>
    </row>
    <row r="23" spans="1:8" x14ac:dyDescent="0.3">
      <c r="A23" s="130"/>
      <c r="B23" s="124"/>
      <c r="C23" s="22"/>
      <c r="D23" s="22"/>
      <c r="E23" s="119"/>
      <c r="F23" s="120"/>
      <c r="G23" s="119"/>
      <c r="H23" s="16"/>
    </row>
    <row r="24" spans="1:8" x14ac:dyDescent="0.3">
      <c r="A24" s="130"/>
      <c r="B24" s="124"/>
      <c r="C24" s="22"/>
      <c r="D24" s="22"/>
      <c r="E24" s="119"/>
      <c r="F24" s="120"/>
      <c r="G24" s="119"/>
      <c r="H24" s="16"/>
    </row>
    <row r="25" spans="1:8" x14ac:dyDescent="0.3">
      <c r="A25" s="130"/>
      <c r="B25" s="124"/>
      <c r="C25" s="22"/>
      <c r="D25" s="22"/>
      <c r="E25" s="119"/>
      <c r="F25" s="120"/>
      <c r="G25" s="119"/>
      <c r="H25" s="16"/>
    </row>
    <row r="26" spans="1:8" x14ac:dyDescent="0.3">
      <c r="A26" s="130"/>
      <c r="B26" s="124"/>
      <c r="C26" s="22"/>
      <c r="D26" s="22"/>
      <c r="E26" s="119"/>
      <c r="F26" s="120"/>
      <c r="G26" s="119"/>
      <c r="H26" s="16"/>
    </row>
    <row r="27" spans="1:8" x14ac:dyDescent="0.3">
      <c r="A27" s="130"/>
      <c r="B27" s="124"/>
      <c r="C27" s="22"/>
      <c r="D27" s="22"/>
      <c r="E27" s="119"/>
      <c r="F27" s="120"/>
      <c r="G27" s="119"/>
      <c r="H27" s="16"/>
    </row>
    <row r="28" spans="1:8" x14ac:dyDescent="0.3">
      <c r="A28" s="130"/>
      <c r="B28" s="124"/>
      <c r="C28" s="22"/>
      <c r="D28" s="22"/>
      <c r="E28" s="119"/>
      <c r="F28" s="120"/>
      <c r="G28" s="119"/>
      <c r="H28" s="16"/>
    </row>
    <row r="29" spans="1:8" x14ac:dyDescent="0.3">
      <c r="A29" s="130"/>
      <c r="B29" s="124"/>
      <c r="C29" s="22"/>
      <c r="D29" s="22"/>
      <c r="E29" s="119"/>
      <c r="F29" s="120"/>
      <c r="G29" s="119"/>
      <c r="H29" s="16"/>
    </row>
    <row r="30" spans="1:8" x14ac:dyDescent="0.3">
      <c r="A30" s="130"/>
      <c r="B30" s="124"/>
      <c r="C30" s="22"/>
      <c r="D30" s="22"/>
      <c r="E30" s="119"/>
      <c r="F30" s="120"/>
      <c r="G30" s="119"/>
      <c r="H30" s="16"/>
    </row>
    <row r="31" spans="1:8" x14ac:dyDescent="0.3">
      <c r="A31" s="130"/>
      <c r="B31" s="124"/>
      <c r="C31" s="22"/>
      <c r="D31" s="22"/>
      <c r="E31" s="119"/>
      <c r="F31" s="120"/>
      <c r="G31" s="119"/>
      <c r="H31" s="16"/>
    </row>
    <row r="32" spans="1:8" x14ac:dyDescent="0.3">
      <c r="A32" s="130"/>
      <c r="B32" s="124"/>
      <c r="C32" s="22"/>
      <c r="D32" s="22"/>
      <c r="E32" s="119"/>
      <c r="F32" s="120"/>
      <c r="G32" s="119"/>
      <c r="H32" s="16"/>
    </row>
    <row r="33" spans="1:8" x14ac:dyDescent="0.3">
      <c r="A33" s="130"/>
      <c r="B33" s="124"/>
      <c r="C33" s="22"/>
      <c r="D33" s="22"/>
      <c r="E33" s="119"/>
      <c r="F33" s="120"/>
      <c r="G33" s="119"/>
      <c r="H33" s="16"/>
    </row>
    <row r="34" spans="1:8" x14ac:dyDescent="0.3">
      <c r="A34" s="130"/>
      <c r="B34" s="124"/>
      <c r="C34" s="22"/>
      <c r="D34" s="22"/>
      <c r="E34" s="119"/>
      <c r="F34" s="120"/>
      <c r="G34" s="119"/>
      <c r="H34" s="16"/>
    </row>
    <row r="35" spans="1:8" x14ac:dyDescent="0.3">
      <c r="A35" s="130"/>
      <c r="B35" s="124"/>
      <c r="C35" s="29"/>
      <c r="D35" s="22"/>
      <c r="E35" s="116"/>
      <c r="F35" s="118"/>
      <c r="G35" s="116"/>
      <c r="H35" s="16"/>
    </row>
    <row r="36" spans="1:8" x14ac:dyDescent="0.3">
      <c r="A36" s="130"/>
      <c r="B36" s="124"/>
      <c r="C36" s="29"/>
      <c r="D36" s="22"/>
      <c r="E36" s="116"/>
      <c r="F36" s="118"/>
      <c r="G36" s="116"/>
      <c r="H36" s="16"/>
    </row>
    <row r="37" spans="1:8" x14ac:dyDescent="0.3">
      <c r="A37" s="114"/>
      <c r="B37" s="124"/>
      <c r="C37" s="29"/>
      <c r="D37" s="22"/>
      <c r="E37" s="116"/>
      <c r="F37" s="118"/>
      <c r="G37" s="116"/>
      <c r="H37" s="16"/>
    </row>
    <row r="38" spans="1:8" x14ac:dyDescent="0.3">
      <c r="A38" s="114"/>
      <c r="B38" s="124"/>
      <c r="C38" s="29"/>
      <c r="D38" s="22"/>
      <c r="E38" s="116"/>
      <c r="F38" s="118"/>
      <c r="G38" s="116"/>
      <c r="H38" s="16"/>
    </row>
    <row r="39" spans="1:8" x14ac:dyDescent="0.3">
      <c r="A39" s="114"/>
      <c r="B39" s="124"/>
      <c r="C39" s="29"/>
      <c r="D39" s="22"/>
      <c r="E39" s="116"/>
      <c r="F39" s="118"/>
      <c r="G39" s="116"/>
      <c r="H39" s="16"/>
    </row>
    <row r="40" spans="1:8" x14ac:dyDescent="0.3">
      <c r="A40" s="114"/>
      <c r="B40" s="124"/>
      <c r="C40" s="29"/>
      <c r="D40" s="22"/>
      <c r="E40" s="116"/>
      <c r="F40" s="118"/>
      <c r="G40" s="116"/>
      <c r="H40" s="16"/>
    </row>
    <row r="41" spans="1:8" x14ac:dyDescent="0.3">
      <c r="A41" s="114"/>
      <c r="B41" s="124"/>
      <c r="C41" s="29"/>
      <c r="D41" s="22"/>
      <c r="E41" s="116"/>
      <c r="F41" s="118"/>
      <c r="G41" s="116"/>
      <c r="H41" s="16"/>
    </row>
    <row r="42" spans="1:8" x14ac:dyDescent="0.3">
      <c r="A42" s="114"/>
      <c r="B42" s="124"/>
      <c r="C42" s="29"/>
      <c r="D42" s="22"/>
      <c r="E42" s="116"/>
      <c r="F42" s="118"/>
      <c r="G42" s="116"/>
      <c r="H42" s="16"/>
    </row>
    <row r="43" spans="1:8" x14ac:dyDescent="0.3">
      <c r="A43" s="114"/>
      <c r="B43" s="124"/>
      <c r="C43" s="29"/>
      <c r="D43" s="22"/>
      <c r="E43" s="116"/>
      <c r="F43" s="118"/>
      <c r="G43" s="116"/>
      <c r="H43" s="16"/>
    </row>
    <row r="44" spans="1:8" x14ac:dyDescent="0.3">
      <c r="D44" s="22"/>
      <c r="G44" s="129"/>
      <c r="H44" s="16"/>
    </row>
    <row r="45" spans="1:8" x14ac:dyDescent="0.3">
      <c r="D45" s="22"/>
      <c r="G45" s="147"/>
      <c r="H45" s="16"/>
    </row>
    <row r="46" spans="1:8" x14ac:dyDescent="0.3">
      <c r="D46" s="22"/>
      <c r="G46" s="147"/>
      <c r="H46" s="16"/>
    </row>
    <row r="47" spans="1:8" x14ac:dyDescent="0.3">
      <c r="D47" s="22"/>
      <c r="G47" s="147"/>
      <c r="H47" s="16"/>
    </row>
    <row r="48" spans="1:8" x14ac:dyDescent="0.3">
      <c r="D48" s="22"/>
      <c r="G48" s="147"/>
      <c r="H48" s="16"/>
    </row>
    <row r="49" spans="1:8" x14ac:dyDescent="0.3">
      <c r="D49" s="22"/>
      <c r="G49" s="147"/>
      <c r="H49" s="16"/>
    </row>
    <row r="50" spans="1:8" x14ac:dyDescent="0.3">
      <c r="D50" s="22"/>
      <c r="G50" s="147"/>
      <c r="H50" s="16"/>
    </row>
    <row r="51" spans="1:8" x14ac:dyDescent="0.3">
      <c r="D51" s="22"/>
      <c r="G51" s="147"/>
      <c r="H51" s="16"/>
    </row>
    <row r="52" spans="1:8" x14ac:dyDescent="0.3">
      <c r="D52" s="22"/>
      <c r="H52" s="16"/>
    </row>
    <row r="53" spans="1:8" x14ac:dyDescent="0.3">
      <c r="D53" s="22"/>
      <c r="H53" s="16"/>
    </row>
    <row r="54" spans="1:8" s="148" customFormat="1" x14ac:dyDescent="0.3">
      <c r="A54" s="16"/>
      <c r="B54" s="125"/>
      <c r="C54" s="16"/>
      <c r="D54" s="22"/>
      <c r="E54" s="16"/>
      <c r="F54" s="16"/>
      <c r="G54" s="126"/>
      <c r="H54" s="16"/>
    </row>
    <row r="55" spans="1:8" s="148" customFormat="1" x14ac:dyDescent="0.3">
      <c r="A55" s="16"/>
      <c r="B55" s="125"/>
      <c r="C55" s="16"/>
      <c r="D55" s="22"/>
      <c r="E55" s="16"/>
      <c r="F55" s="16"/>
      <c r="G55" s="126"/>
      <c r="H55" s="16"/>
    </row>
    <row r="56" spans="1:8" s="148" customFormat="1" x14ac:dyDescent="0.3">
      <c r="A56" s="16"/>
      <c r="B56" s="125"/>
      <c r="C56" s="16"/>
      <c r="D56" s="22"/>
      <c r="E56" s="16"/>
      <c r="F56" s="16"/>
      <c r="G56" s="126"/>
      <c r="H56" s="16"/>
    </row>
    <row r="57" spans="1:8" s="148" customFormat="1" x14ac:dyDescent="0.3">
      <c r="A57" s="16"/>
      <c r="B57" s="125"/>
      <c r="C57" s="16"/>
      <c r="D57" s="22"/>
      <c r="E57" s="16"/>
      <c r="F57" s="16"/>
      <c r="G57" s="126"/>
      <c r="H57" s="16"/>
    </row>
    <row r="58" spans="1:8" s="148" customFormat="1" x14ac:dyDescent="0.3">
      <c r="A58" s="16"/>
      <c r="B58" s="125"/>
      <c r="C58" s="16"/>
      <c r="D58" s="22"/>
      <c r="E58" s="16"/>
      <c r="F58" s="16"/>
      <c r="G58" s="126"/>
      <c r="H58" s="16"/>
    </row>
    <row r="59" spans="1:8" s="148" customFormat="1" x14ac:dyDescent="0.3">
      <c r="A59" s="16"/>
      <c r="B59" s="125"/>
      <c r="C59" s="16"/>
      <c r="D59" s="22"/>
      <c r="E59" s="16"/>
      <c r="F59" s="16"/>
      <c r="G59" s="126"/>
      <c r="H59" s="16"/>
    </row>
    <row r="60" spans="1:8" s="148" customFormat="1" x14ac:dyDescent="0.3">
      <c r="A60" s="16"/>
      <c r="B60" s="125"/>
      <c r="C60" s="16"/>
      <c r="D60" s="22"/>
      <c r="E60" s="16"/>
      <c r="F60" s="16"/>
      <c r="G60" s="126"/>
      <c r="H60" s="16"/>
    </row>
    <row r="61" spans="1:8" s="148" customFormat="1" x14ac:dyDescent="0.3">
      <c r="A61" s="16"/>
      <c r="B61" s="125"/>
      <c r="C61" s="16"/>
      <c r="D61" s="22"/>
      <c r="E61" s="16"/>
      <c r="F61" s="16"/>
      <c r="G61" s="126"/>
      <c r="H61" s="16"/>
    </row>
    <row r="62" spans="1:8" s="148" customFormat="1" x14ac:dyDescent="0.3">
      <c r="A62" s="16"/>
      <c r="B62" s="125"/>
      <c r="C62" s="16"/>
      <c r="D62" s="22"/>
      <c r="E62" s="16"/>
      <c r="F62" s="16"/>
      <c r="G62" s="126"/>
      <c r="H62" s="16"/>
    </row>
    <row r="63" spans="1:8" s="148" customFormat="1" x14ac:dyDescent="0.3">
      <c r="A63" s="16"/>
      <c r="B63" s="125"/>
      <c r="C63" s="16"/>
      <c r="D63" s="22"/>
      <c r="E63" s="16"/>
      <c r="F63" s="16"/>
      <c r="G63" s="126"/>
      <c r="H63" s="16"/>
    </row>
    <row r="64" spans="1:8" s="148" customFormat="1" x14ac:dyDescent="0.3">
      <c r="A64" s="16"/>
      <c r="B64" s="125"/>
      <c r="C64" s="16"/>
      <c r="D64" s="22"/>
      <c r="E64" s="16"/>
      <c r="F64" s="16"/>
      <c r="G64" s="126"/>
      <c r="H64" s="16"/>
    </row>
    <row r="65" spans="1:8" s="148" customFormat="1" x14ac:dyDescent="0.3">
      <c r="A65" s="16"/>
      <c r="B65" s="125"/>
      <c r="C65" s="16"/>
      <c r="D65" s="22"/>
      <c r="E65" s="16"/>
      <c r="F65" s="16"/>
      <c r="G65" s="126"/>
      <c r="H65" s="16"/>
    </row>
    <row r="66" spans="1:8" s="148" customFormat="1" x14ac:dyDescent="0.3">
      <c r="A66" s="16"/>
      <c r="B66" s="125"/>
      <c r="C66" s="16"/>
      <c r="D66" s="22"/>
      <c r="E66" s="16"/>
      <c r="F66" s="16"/>
      <c r="G66" s="126"/>
      <c r="H66" s="16"/>
    </row>
    <row r="67" spans="1:8" s="148" customFormat="1" x14ac:dyDescent="0.3">
      <c r="A67" s="16"/>
      <c r="B67" s="125"/>
      <c r="C67" s="16"/>
      <c r="D67" s="22"/>
      <c r="E67" s="16"/>
      <c r="F67" s="16"/>
      <c r="G67" s="126"/>
      <c r="H67" s="16"/>
    </row>
    <row r="68" spans="1:8" s="148" customFormat="1" x14ac:dyDescent="0.3">
      <c r="A68" s="16"/>
      <c r="B68" s="125"/>
      <c r="C68" s="16"/>
      <c r="D68" s="22"/>
      <c r="E68" s="16"/>
      <c r="F68" s="16"/>
      <c r="G68" s="126"/>
      <c r="H68" s="16"/>
    </row>
    <row r="69" spans="1:8" s="148" customFormat="1" x14ac:dyDescent="0.3">
      <c r="A69" s="16"/>
      <c r="B69" s="125"/>
      <c r="C69" s="16"/>
      <c r="D69" s="22"/>
      <c r="E69" s="16"/>
      <c r="F69" s="16"/>
      <c r="G69" s="126"/>
      <c r="H69" s="16"/>
    </row>
    <row r="70" spans="1:8" s="148" customFormat="1" x14ac:dyDescent="0.3">
      <c r="A70" s="16"/>
      <c r="B70" s="125"/>
      <c r="C70" s="16"/>
      <c r="D70" s="22"/>
      <c r="E70" s="16"/>
      <c r="F70" s="16"/>
      <c r="G70" s="126"/>
      <c r="H70" s="16"/>
    </row>
    <row r="71" spans="1:8" s="148" customFormat="1" x14ac:dyDescent="0.3">
      <c r="A71" s="16"/>
      <c r="B71" s="125"/>
      <c r="C71" s="16"/>
      <c r="D71" s="22"/>
      <c r="E71" s="16"/>
      <c r="F71" s="16"/>
      <c r="G71" s="126"/>
      <c r="H71" s="16"/>
    </row>
    <row r="72" spans="1:8" s="148" customFormat="1" x14ac:dyDescent="0.3">
      <c r="A72" s="16"/>
      <c r="B72" s="125"/>
      <c r="C72" s="16"/>
      <c r="D72" s="22"/>
      <c r="E72" s="16"/>
      <c r="F72" s="16"/>
      <c r="G72" s="126"/>
      <c r="H72" s="16"/>
    </row>
    <row r="73" spans="1:8" s="148" customFormat="1" x14ac:dyDescent="0.3">
      <c r="A73" s="16"/>
      <c r="B73" s="125"/>
      <c r="C73" s="16"/>
      <c r="D73" s="22"/>
      <c r="E73" s="16"/>
      <c r="F73" s="16"/>
      <c r="G73" s="126"/>
      <c r="H73" s="16"/>
    </row>
    <row r="74" spans="1:8" s="148" customFormat="1" x14ac:dyDescent="0.3">
      <c r="A74" s="16"/>
      <c r="B74" s="125"/>
      <c r="C74" s="16"/>
      <c r="D74" s="22"/>
      <c r="E74" s="16"/>
      <c r="F74" s="16"/>
      <c r="G74" s="126"/>
      <c r="H74" s="16"/>
    </row>
    <row r="75" spans="1:8" s="148" customFormat="1" x14ac:dyDescent="0.3">
      <c r="A75" s="16"/>
      <c r="B75" s="125"/>
      <c r="C75" s="16"/>
      <c r="D75" s="22"/>
      <c r="E75" s="16"/>
      <c r="F75" s="16"/>
      <c r="G75" s="126"/>
      <c r="H75" s="16"/>
    </row>
    <row r="76" spans="1:8" s="148" customFormat="1" x14ac:dyDescent="0.3">
      <c r="A76" s="16"/>
      <c r="B76" s="125"/>
      <c r="C76" s="16"/>
      <c r="D76" s="22"/>
      <c r="E76" s="16"/>
      <c r="F76" s="16"/>
      <c r="G76" s="126"/>
      <c r="H76" s="16"/>
    </row>
    <row r="77" spans="1:8" x14ac:dyDescent="0.3">
      <c r="H77" s="16"/>
    </row>
  </sheetData>
  <dataValidations disablePrompts="1" count="1">
    <dataValidation type="list" allowBlank="1" showInputMessage="1" showErrorMessage="1" sqref="D13:D76">
      <formula1>#REF!</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2"/>
  <sheetViews>
    <sheetView zoomScaleNormal="100" workbookViewId="0">
      <selection activeCell="D24" sqref="D24"/>
    </sheetView>
  </sheetViews>
  <sheetFormatPr defaultRowHeight="14.4" x14ac:dyDescent="0.3"/>
  <cols>
    <col min="3" max="3" width="20.33203125" customWidth="1"/>
    <col min="4" max="4" width="9.5546875" bestFit="1" customWidth="1"/>
    <col min="5" max="5" width="10.33203125" hidden="1" customWidth="1"/>
    <col min="8" max="8" width="27.44140625" hidden="1" customWidth="1"/>
    <col min="9" max="9" width="27.44140625" customWidth="1"/>
    <col min="10" max="10" width="93.88671875" hidden="1" customWidth="1"/>
  </cols>
  <sheetData>
    <row r="1" spans="2:10" x14ac:dyDescent="0.3">
      <c r="B1" s="158" t="s">
        <v>170</v>
      </c>
      <c r="C1" s="158"/>
      <c r="D1" s="158"/>
      <c r="E1" s="158"/>
      <c r="F1" s="158"/>
      <c r="G1" s="158"/>
      <c r="H1" s="158"/>
      <c r="I1" s="158"/>
      <c r="J1" s="158"/>
    </row>
    <row r="2" spans="2:10" ht="41.4" x14ac:dyDescent="0.3">
      <c r="B2" s="3" t="s">
        <v>1</v>
      </c>
      <c r="C2" s="3" t="s">
        <v>171</v>
      </c>
      <c r="D2" s="3" t="s">
        <v>172</v>
      </c>
      <c r="E2" s="3" t="s">
        <v>173</v>
      </c>
      <c r="F2" s="3" t="s">
        <v>174</v>
      </c>
      <c r="G2" s="3" t="s">
        <v>175</v>
      </c>
      <c r="H2" s="3" t="s">
        <v>176</v>
      </c>
      <c r="I2" s="3" t="s">
        <v>5</v>
      </c>
      <c r="J2" s="3" t="s">
        <v>177</v>
      </c>
    </row>
    <row r="3" spans="2:10" x14ac:dyDescent="0.3">
      <c r="B3" s="1">
        <v>1</v>
      </c>
      <c r="C3" s="1" t="s">
        <v>10</v>
      </c>
      <c r="D3" s="4">
        <v>6</v>
      </c>
      <c r="E3" s="5">
        <v>3</v>
      </c>
      <c r="F3" s="6">
        <f>'Tong the'!R3</f>
        <v>5</v>
      </c>
      <c r="G3" s="7">
        <f>D3-F3</f>
        <v>1</v>
      </c>
      <c r="H3" s="7"/>
      <c r="I3" s="159" t="s">
        <v>178</v>
      </c>
      <c r="J3" s="159" t="s">
        <v>178</v>
      </c>
    </row>
    <row r="4" spans="2:10" x14ac:dyDescent="0.3">
      <c r="B4" s="1">
        <v>2</v>
      </c>
      <c r="C4" s="1" t="s">
        <v>11</v>
      </c>
      <c r="D4" s="4">
        <v>4</v>
      </c>
      <c r="E4" s="5">
        <v>0</v>
      </c>
      <c r="F4" s="6">
        <f>'Tong the'!R4</f>
        <v>0</v>
      </c>
      <c r="G4" s="7">
        <f t="shared" ref="G4:G21" si="0">D4-F4</f>
        <v>4</v>
      </c>
      <c r="H4" s="7"/>
      <c r="I4" s="160"/>
      <c r="J4" s="160"/>
    </row>
    <row r="5" spans="2:10" x14ac:dyDescent="0.3">
      <c r="B5" s="1">
        <v>3</v>
      </c>
      <c r="C5" s="1" t="s">
        <v>12</v>
      </c>
      <c r="D5" s="4">
        <v>12</v>
      </c>
      <c r="E5" s="5">
        <v>0</v>
      </c>
      <c r="F5" s="6">
        <f>'Tong the'!R5</f>
        <v>1</v>
      </c>
      <c r="G5" s="7">
        <f t="shared" si="0"/>
        <v>11</v>
      </c>
      <c r="H5" s="7"/>
      <c r="I5" s="160"/>
      <c r="J5" s="160"/>
    </row>
    <row r="6" spans="2:10" x14ac:dyDescent="0.3">
      <c r="B6" s="1">
        <v>4</v>
      </c>
      <c r="C6" s="1" t="s">
        <v>13</v>
      </c>
      <c r="D6" s="4">
        <v>8</v>
      </c>
      <c r="E6" s="5">
        <v>0</v>
      </c>
      <c r="F6" s="6">
        <f>'Tong the'!R6</f>
        <v>4</v>
      </c>
      <c r="G6" s="7">
        <f t="shared" si="0"/>
        <v>4</v>
      </c>
      <c r="H6" s="7"/>
      <c r="I6" s="160"/>
      <c r="J6" s="160"/>
    </row>
    <row r="7" spans="2:10" x14ac:dyDescent="0.3">
      <c r="B7" s="1">
        <v>5</v>
      </c>
      <c r="C7" s="1" t="s">
        <v>14</v>
      </c>
      <c r="D7" s="4">
        <v>2</v>
      </c>
      <c r="E7" s="5">
        <v>0</v>
      </c>
      <c r="F7" s="6">
        <f>'Tong the'!R7</f>
        <v>2</v>
      </c>
      <c r="G7" s="7">
        <f t="shared" si="0"/>
        <v>0</v>
      </c>
      <c r="H7" s="7"/>
      <c r="I7" s="160"/>
      <c r="J7" s="160"/>
    </row>
    <row r="8" spans="2:10" x14ac:dyDescent="0.3">
      <c r="B8" s="1">
        <v>6</v>
      </c>
      <c r="C8" s="1" t="s">
        <v>15</v>
      </c>
      <c r="D8" s="4">
        <v>16</v>
      </c>
      <c r="E8" s="5">
        <v>1</v>
      </c>
      <c r="F8" s="6">
        <f>'Tong the'!R8</f>
        <v>4</v>
      </c>
      <c r="G8" s="7">
        <f t="shared" si="0"/>
        <v>12</v>
      </c>
      <c r="H8" s="7"/>
      <c r="I8" s="160"/>
      <c r="J8" s="160"/>
    </row>
    <row r="9" spans="2:10" ht="21" customHeight="1" x14ac:dyDescent="0.3">
      <c r="B9" s="1">
        <v>7</v>
      </c>
      <c r="C9" s="1" t="s">
        <v>16</v>
      </c>
      <c r="D9" s="4">
        <v>6</v>
      </c>
      <c r="E9" s="5">
        <v>0</v>
      </c>
      <c r="F9" s="6">
        <f>'Tong the'!R9</f>
        <v>4</v>
      </c>
      <c r="G9" s="7">
        <f t="shared" si="0"/>
        <v>2</v>
      </c>
      <c r="H9" s="7"/>
      <c r="I9" s="161"/>
      <c r="J9" s="161"/>
    </row>
    <row r="10" spans="2:10" x14ac:dyDescent="0.3">
      <c r="B10" s="1">
        <v>8</v>
      </c>
      <c r="C10" s="1" t="s">
        <v>17</v>
      </c>
      <c r="D10" s="4">
        <v>16</v>
      </c>
      <c r="E10" s="5">
        <v>2</v>
      </c>
      <c r="F10" s="6">
        <f>'Tong the'!R10</f>
        <v>10</v>
      </c>
      <c r="G10" s="7">
        <f t="shared" si="0"/>
        <v>6</v>
      </c>
      <c r="H10" s="7"/>
      <c r="I10" s="7"/>
      <c r="J10" s="8" t="s">
        <v>179</v>
      </c>
    </row>
    <row r="11" spans="2:10" x14ac:dyDescent="0.3">
      <c r="B11" s="1">
        <v>9</v>
      </c>
      <c r="C11" s="1" t="s">
        <v>18</v>
      </c>
      <c r="D11" s="4">
        <v>16</v>
      </c>
      <c r="E11" s="5">
        <v>4</v>
      </c>
      <c r="F11" s="6">
        <f>'Tong the'!R11</f>
        <v>4</v>
      </c>
      <c r="G11" s="7">
        <f t="shared" si="0"/>
        <v>12</v>
      </c>
      <c r="H11" s="7"/>
      <c r="I11" s="7"/>
      <c r="J11" s="8"/>
    </row>
    <row r="12" spans="2:10" x14ac:dyDescent="0.3">
      <c r="B12" s="1">
        <v>10</v>
      </c>
      <c r="C12" s="1" t="s">
        <v>19</v>
      </c>
      <c r="D12" s="4">
        <v>2</v>
      </c>
      <c r="E12" s="5">
        <v>1</v>
      </c>
      <c r="F12" s="6">
        <f>'Tong the'!R12</f>
        <v>2</v>
      </c>
      <c r="G12" s="7">
        <f t="shared" si="0"/>
        <v>0</v>
      </c>
      <c r="H12" s="7" t="s">
        <v>180</v>
      </c>
      <c r="I12" s="7"/>
      <c r="J12" s="8"/>
    </row>
    <row r="13" spans="2:10" x14ac:dyDescent="0.3">
      <c r="B13" s="2">
        <v>11</v>
      </c>
      <c r="C13" s="2" t="s">
        <v>20</v>
      </c>
      <c r="D13" s="9">
        <v>2</v>
      </c>
      <c r="E13" s="10">
        <v>1</v>
      </c>
      <c r="F13" s="6">
        <f>'Tong the'!R13</f>
        <v>2</v>
      </c>
      <c r="G13" s="11">
        <f t="shared" si="0"/>
        <v>0</v>
      </c>
      <c r="H13" s="7" t="s">
        <v>181</v>
      </c>
      <c r="I13" s="7"/>
      <c r="J13" s="8" t="s">
        <v>182</v>
      </c>
    </row>
    <row r="14" spans="2:10" x14ac:dyDescent="0.3">
      <c r="B14" s="1">
        <v>12</v>
      </c>
      <c r="C14" s="1" t="s">
        <v>21</v>
      </c>
      <c r="D14" s="4">
        <v>6</v>
      </c>
      <c r="E14" s="5">
        <v>3</v>
      </c>
      <c r="F14" s="6">
        <f>'Tong the'!R14</f>
        <v>3</v>
      </c>
      <c r="G14" s="7">
        <f t="shared" si="0"/>
        <v>3</v>
      </c>
      <c r="H14" s="7"/>
      <c r="I14" s="7"/>
      <c r="J14" s="8" t="s">
        <v>183</v>
      </c>
    </row>
    <row r="15" spans="2:10" x14ac:dyDescent="0.3">
      <c r="B15" s="1">
        <v>13</v>
      </c>
      <c r="C15" s="1" t="s">
        <v>22</v>
      </c>
      <c r="D15" s="4">
        <v>2</v>
      </c>
      <c r="E15" s="5">
        <v>3</v>
      </c>
      <c r="F15" s="6">
        <f>'Tong the'!R15</f>
        <v>2</v>
      </c>
      <c r="G15" s="7">
        <f t="shared" si="0"/>
        <v>0</v>
      </c>
      <c r="H15" s="7" t="s">
        <v>184</v>
      </c>
      <c r="I15" s="7"/>
      <c r="J15" s="8" t="s">
        <v>185</v>
      </c>
    </row>
    <row r="16" spans="2:10" x14ac:dyDescent="0.3">
      <c r="B16" s="2">
        <v>14</v>
      </c>
      <c r="C16" s="2" t="s">
        <v>23</v>
      </c>
      <c r="D16" s="9">
        <v>1</v>
      </c>
      <c r="E16" s="10">
        <v>1</v>
      </c>
      <c r="F16" s="6">
        <f>'Tong the'!R16</f>
        <v>2</v>
      </c>
      <c r="G16" s="11">
        <f t="shared" si="0"/>
        <v>-1</v>
      </c>
      <c r="H16" s="7" t="s">
        <v>186</v>
      </c>
      <c r="I16" s="7"/>
      <c r="J16" s="8" t="s">
        <v>187</v>
      </c>
    </row>
    <row r="17" spans="2:10" x14ac:dyDescent="0.3">
      <c r="B17" s="1">
        <v>15</v>
      </c>
      <c r="C17" s="1" t="s">
        <v>24</v>
      </c>
      <c r="D17" s="4">
        <v>6</v>
      </c>
      <c r="E17" s="5">
        <v>3</v>
      </c>
      <c r="F17" s="6">
        <f>'Tong the'!R17</f>
        <v>6</v>
      </c>
      <c r="G17" s="7">
        <f t="shared" si="0"/>
        <v>0</v>
      </c>
      <c r="H17" s="7" t="s">
        <v>188</v>
      </c>
      <c r="I17" s="7"/>
      <c r="J17" s="8" t="s">
        <v>189</v>
      </c>
    </row>
    <row r="18" spans="2:10" x14ac:dyDescent="0.3">
      <c r="B18" s="2">
        <v>16</v>
      </c>
      <c r="C18" s="2" t="s">
        <v>25</v>
      </c>
      <c r="D18" s="9">
        <v>1</v>
      </c>
      <c r="E18" s="10">
        <v>1</v>
      </c>
      <c r="F18" s="6">
        <f>'Tong the'!R18</f>
        <v>1</v>
      </c>
      <c r="G18" s="11">
        <f t="shared" si="0"/>
        <v>0</v>
      </c>
      <c r="H18" s="7" t="s">
        <v>190</v>
      </c>
      <c r="I18" s="7"/>
      <c r="J18" s="8" t="s">
        <v>191</v>
      </c>
    </row>
    <row r="19" spans="2:10" x14ac:dyDescent="0.3">
      <c r="B19" s="1">
        <v>17</v>
      </c>
      <c r="C19" s="1" t="s">
        <v>26</v>
      </c>
      <c r="D19" s="4">
        <v>55</v>
      </c>
      <c r="E19" s="5">
        <v>1</v>
      </c>
      <c r="F19" s="6">
        <f>'Tong the'!R19</f>
        <v>31</v>
      </c>
      <c r="G19" s="7">
        <f t="shared" si="0"/>
        <v>24</v>
      </c>
      <c r="H19" s="7" t="s">
        <v>192</v>
      </c>
      <c r="I19" s="7"/>
      <c r="J19" s="8" t="s">
        <v>193</v>
      </c>
    </row>
    <row r="20" spans="2:10" x14ac:dyDescent="0.3">
      <c r="B20" s="1">
        <v>18</v>
      </c>
      <c r="C20" s="1" t="s">
        <v>27</v>
      </c>
      <c r="D20" s="4">
        <v>5</v>
      </c>
      <c r="E20" s="5">
        <v>5</v>
      </c>
      <c r="F20" s="6">
        <f>'Tong the'!R20</f>
        <v>5</v>
      </c>
      <c r="G20" s="7">
        <f t="shared" si="0"/>
        <v>0</v>
      </c>
      <c r="H20" s="7"/>
      <c r="I20" s="7"/>
      <c r="J20" s="8"/>
    </row>
    <row r="21" spans="2:10" x14ac:dyDescent="0.3">
      <c r="B21" s="1">
        <v>19</v>
      </c>
      <c r="C21" s="1" t="s">
        <v>28</v>
      </c>
      <c r="D21" s="4">
        <v>2</v>
      </c>
      <c r="E21" s="5">
        <v>0</v>
      </c>
      <c r="F21" s="6">
        <f>'Tong the'!R26</f>
        <v>0</v>
      </c>
      <c r="G21" s="7">
        <f t="shared" si="0"/>
        <v>2</v>
      </c>
      <c r="H21" s="7"/>
      <c r="I21" s="7"/>
      <c r="J21" s="8" t="s">
        <v>194</v>
      </c>
    </row>
    <row r="22" spans="2:10" x14ac:dyDescent="0.3">
      <c r="D22" s="12">
        <f>SUM(D3:D21)</f>
        <v>168</v>
      </c>
      <c r="E22" s="12">
        <f t="shared" ref="E22:F22" si="1">SUM(E3:E21)</f>
        <v>29</v>
      </c>
      <c r="F22" s="13">
        <f t="shared" si="1"/>
        <v>88</v>
      </c>
    </row>
  </sheetData>
  <mergeCells count="3">
    <mergeCell ref="B1:J1"/>
    <mergeCell ref="J3:J9"/>
    <mergeCell ref="I3:I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Tong the</vt:lpstr>
      <vt:lpstr>DS đào tạo</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Admin</cp:lastModifiedBy>
  <cp:lastPrinted>2026-04-12T07:04:04Z</cp:lastPrinted>
  <dcterms:created xsi:type="dcterms:W3CDTF">2026-01-08T01:27:25Z</dcterms:created>
  <dcterms:modified xsi:type="dcterms:W3CDTF">2026-05-06T10:46:27Z</dcterms:modified>
</cp:coreProperties>
</file>